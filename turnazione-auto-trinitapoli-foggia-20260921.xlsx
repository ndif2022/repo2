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egole" sheetId="1" state="visible" r:id="rId1"/>
    <sheet name="Partecipanti" sheetId="2" state="visible" r:id="rId2"/>
    <sheet name="Assenze" sheetId="3" state="visible" r:id="rId3"/>
    <sheet name="Turnazione" sheetId="4" state="visible" r:id="rId4"/>
    <sheet name="Comunicazione Giovedì" sheetId="5" state="visible" r:id="rId5"/>
    <sheet name="Riepilogo" sheetId="6" state="visible" r:id="rId6"/>
    <sheet name="Calcoli" sheetId="7" state="hidden" r:id="rId7"/>
  </sheets>
  <definedNames>
    <definedName name="A_SETT">Assenze!$A$5:$A$204</definedName>
    <definedName name="A_PERS">Assenze!$C$5:$C$204</definedName>
    <definedName name="A_TIPO">Assenze!$D$5:$D$204</definedName>
    <definedName name="A_DATA">Assenze!$E$5:$E$204</definedName>
    <definedName name="PARTECIPANTI">Partecipanti!$B$5:$B$9</definedName>
    <definedName name="_xlnm._FilterDatabase" localSheetId="2" hidden="1">'Assenze'!$A$4:$G$204</definedName>
    <definedName name="_xlnm._FilterDatabase" localSheetId="3" hidden="1">'Turnazione'!$A$5:$J$70</definedName>
    <definedName name="_xlnm.Print_Titles" localSheetId="3">'Turnazione'!$5:$5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F3864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DF2FA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F559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0" borderId="0" pivotButton="0" quotePrefix="0" xfId="0"/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top" wrapText="1"/>
    </xf>
    <xf numFmtId="0" fontId="4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3" borderId="0" pivotButton="0" quotePrefix="0" xfId="0"/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86" customWidth="1" min="3" max="3"/>
  </cols>
  <sheetData>
    <row r="1" ht="26" customHeight="1">
      <c r="A1" s="1" t="inlineStr">
        <is>
          <t>SERVIZIO DI TURNAZIONE AUTO</t>
        </is>
      </c>
      <c r="B1" s="2" t="n"/>
      <c r="C1" s="2" t="n"/>
    </row>
    <row r="2" ht="17" customHeight="1">
      <c r="A2" s="3" t="inlineStr">
        <is>
          <t>Trinitapoli → Foggia → Trinitapoli · Regolamento e istruzioni d'uso</t>
        </is>
      </c>
      <c r="B2" s="2" t="n"/>
      <c r="C2" s="2" t="n"/>
    </row>
    <row r="5" ht="20" customHeight="1">
      <c r="A5" s="4" t="inlineStr">
        <is>
          <t>1. DATI DEL SERVIZIO</t>
        </is>
      </c>
    </row>
    <row r="6" ht="15" customHeight="1">
      <c r="B6" s="5" t="inlineStr">
        <is>
          <t>Tratta</t>
        </is>
      </c>
      <c r="C6" s="6" t="inlineStr">
        <is>
          <t>Trinitapoli → Foggia → Trinitapoli</t>
        </is>
      </c>
    </row>
    <row r="7" ht="15" customHeight="1">
      <c r="B7" s="5" t="inlineStr">
        <is>
          <t>Frequenza</t>
        </is>
      </c>
      <c r="C7" s="6" t="inlineStr">
        <is>
          <t>5 giorni a settimana, dal lunedì al venerdì</t>
        </is>
      </c>
    </row>
    <row r="8" ht="15" customHeight="1">
      <c r="B8" s="5" t="inlineStr">
        <is>
          <t>Partecipanti</t>
        </is>
      </c>
      <c r="C8" s="6" t="inlineStr">
        <is>
          <t>Nicola, Stefano, Rocco, Giuseppe, Savino</t>
        </is>
      </c>
    </row>
    <row r="9" ht="15" customHeight="1">
      <c r="B9" s="5" t="inlineStr">
        <is>
          <t>Periodo coperto</t>
        </is>
      </c>
      <c r="C9" s="6" t="inlineStr">
        <is>
          <t>28/09/2026 – 25/12/2026 (13 settimane)</t>
        </is>
      </c>
    </row>
    <row r="10" ht="15" customHeight="1">
      <c r="B10" s="5" t="inlineStr">
        <is>
          <t>Ordine base di turnazione</t>
        </is>
      </c>
      <c r="C10" s="6" t="inlineStr">
        <is>
          <t>Lunedì: Nicola · Martedì: Stefano · Mercoledì: Rocco · Giovedì: Giuseppe · Venerdì: Savino</t>
        </is>
      </c>
    </row>
    <row r="12" ht="20" customHeight="1">
      <c r="A12" s="4" t="inlineStr">
        <is>
          <t>2. REGOLE DI GESTIONE DEI TURNI</t>
        </is>
      </c>
    </row>
    <row r="13" ht="26" customHeight="1">
      <c r="B13" s="5" t="inlineStr">
        <is>
          <t>R1 – Licenza settimana intera</t>
        </is>
      </c>
      <c r="C13" s="6" t="inlineStr">
        <is>
          <t>Chi è in licenza per l'intera settimana NON deve recuperare il turno perso. Il turno viene coperto da un sostituto e si considera chiuso.</t>
        </is>
      </c>
    </row>
    <row r="14" ht="26" customHeight="1">
      <c r="B14" s="5" t="inlineStr">
        <is>
          <t>R2 – Attività esterna settimana intera</t>
        </is>
      </c>
      <c r="C14" s="6" t="inlineStr">
        <is>
          <t>Chi è in attività esterna per l'intera settimana NON deve recuperare il turno perso. Vale la stessa regola della licenza.</t>
        </is>
      </c>
    </row>
    <row r="15" ht="26" customHeight="1">
      <c r="B15" s="5" t="inlineStr">
        <is>
          <t>R3 – Assenza per altro motivo</t>
        </is>
      </c>
      <c r="C15" s="6" t="inlineStr">
        <is>
          <t>Qualunque mancata presa della macchina per motivi diversi da R1 e R2 genera un turno da recuperare nella settimana successiva.</t>
        </is>
      </c>
    </row>
    <row r="16" ht="52" customHeight="1">
      <c r="B16" s="5" t="inlineStr">
        <is>
          <t>R4 – Scelta del sostituto</t>
        </is>
      </c>
      <c r="C16" s="6" t="inlineStr">
        <is>
          <t>Il giorno scoperto viene assegnato a chi ha accumulato finora il minor numero di doppi turni. A parità, si scorre l'ordine base a partire dal collega successivo all'assente. Così il doppio turno cade sempre su una turnazione diversa dalla prima e non ricade mai due volte di seguito sulla stessa persona.</t>
        </is>
      </c>
    </row>
    <row r="17" ht="39" customHeight="1">
      <c r="B17" s="5" t="inlineStr">
        <is>
          <t>R5 – Modalità del recupero (solo R3)</t>
        </is>
      </c>
      <c r="C17" s="6" t="inlineStr">
        <is>
          <t>Nella settimana successiva chi ha saltato il turno guida due volte: il proprio giorno più il giorno di chi lo aveva sostituito. Il sostituto, quella settimana, è a riposo compensativo. Il bilancio dei turni torna in pari.</t>
        </is>
      </c>
    </row>
    <row r="18" ht="39" customHeight="1">
      <c r="B18" s="5" t="inlineStr">
        <is>
          <t>R6 – Comunicazione del giovedì</t>
        </is>
      </c>
      <c r="C18" s="6" t="inlineStr">
        <is>
          <t>Entro il giovedì di ogni settimana vanno comunicate a tutti le posizioni della settimana successiva. Usare il foglio «Comunicazione Giovedì»: contiene il prospetto e il testo già pronto da inviare.</t>
        </is>
      </c>
    </row>
    <row r="19" ht="26" customHeight="1">
      <c r="B19" s="5" t="inlineStr">
        <is>
          <t>R7 – Recupero non effettuabile</t>
        </is>
      </c>
      <c r="C19" s="6" t="inlineStr">
        <is>
          <t>Se chi deve recuperare è a sua volta assente nella settimana del recupero, il recupero non si perde: resta contabilizzato nel foglio «Riepilogo» alla voce «Recuperi da saldare».</t>
        </is>
      </c>
    </row>
    <row r="21" ht="20" customHeight="1">
      <c r="A21" s="4" t="inlineStr">
        <is>
          <t>3. COME SI USA IL FILE</t>
        </is>
      </c>
    </row>
    <row r="22" ht="15" customHeight="1">
      <c r="B22" s="5" t="inlineStr">
        <is>
          <t>Foglio da compilare</t>
        </is>
      </c>
      <c r="C22" s="6" t="inlineStr">
        <is>
          <t>Solo «Assenze». Tutti gli altri fogli si aggiornano da soli.</t>
        </is>
      </c>
    </row>
    <row r="23" ht="26" customHeight="1">
      <c r="B23" s="5" t="inlineStr">
        <is>
          <t>Come inserire un'assenza</t>
        </is>
      </c>
      <c r="C23" s="6" t="inlineStr">
        <is>
          <t>Una riga per ogni assenza: numero della settimana, nome, tipo di assenza dal menù a tendina e — solo per «Altro motivo» — la data del giorno saltato.</t>
        </is>
      </c>
    </row>
    <row r="24" ht="26" customHeight="1">
      <c r="B24" s="5" t="inlineStr">
        <is>
          <t>Assenza di settimana intera</t>
        </is>
      </c>
      <c r="C24" s="6" t="inlineStr">
        <is>
          <t>Basta indicare settimana, nome e tipo: la data va lasciata vuota, la regola copre tutti e cinque i giorni.</t>
        </is>
      </c>
    </row>
    <row r="25" ht="26" customHeight="1">
      <c r="B25" s="5" t="inlineStr">
        <is>
          <t>Dove si leggono i risultati</t>
        </is>
      </c>
      <c r="C25" s="6" t="inlineStr">
        <is>
          <t>«Turnazione» = calendario completo · «Comunicazione Giovedì» = prospetto da inviare · «Riepilogo» = conteggi e recuperi per persona.</t>
        </is>
      </c>
    </row>
    <row r="26" ht="15" customHeight="1">
      <c r="B26" s="5" t="inlineStr">
        <is>
          <t>Colonne modificabili a mano</t>
        </is>
      </c>
      <c r="C26" s="6" t="inlineStr">
        <is>
          <t>Le celle su sfondo giallo. Tutte le altre contengono formule: non sovrascriverle.</t>
        </is>
      </c>
    </row>
    <row r="28" ht="20" customHeight="1">
      <c r="A28" s="4" t="inlineStr">
        <is>
          <t>4. LEGENDA DEI TIPI DI TURNO</t>
        </is>
      </c>
    </row>
    <row r="29" ht="15" customHeight="1">
      <c r="B29" s="5" t="inlineStr">
        <is>
          <t>Ordinario</t>
        </is>
      </c>
      <c r="C29" s="6" t="inlineStr">
        <is>
          <t>Il turno si svolge secondo l'ordine base.</t>
        </is>
      </c>
    </row>
    <row r="30" ht="15" customHeight="1">
      <c r="B30" s="5" t="inlineStr">
        <is>
          <t>Sostituzione (doppio turno)</t>
        </is>
      </c>
      <c r="C30" s="6" t="inlineStr">
        <is>
          <t>Il titolare è assente: guida un collega, che quella settimana prende la macchina due volte.</t>
        </is>
      </c>
    </row>
    <row r="31" ht="26" customHeight="1">
      <c r="B31" s="5" t="inlineStr">
        <is>
          <t>Recupero</t>
        </is>
      </c>
      <c r="C31" s="6" t="inlineStr">
        <is>
          <t>Turno restituito da chi aveva saltato per motivo non giustificato; il collega che lo aveva sostituito è a riposo compensativo.</t>
        </is>
      </c>
    </row>
    <row r="32" ht="26" customHeight="1">
      <c r="B32" s="5" t="inlineStr">
        <is>
          <t>DA ASSEGNARE</t>
        </is>
      </c>
      <c r="C32" s="6" t="inlineStr">
        <is>
          <t>Nessun sostituto disponibile in automatico (troppe assenze contemporanee): va deciso manualmente.</t>
        </is>
      </c>
    </row>
  </sheetData>
  <mergeCells count="6">
    <mergeCell ref="A28:C28"/>
    <mergeCell ref="A1:C1"/>
    <mergeCell ref="A5:C5"/>
    <mergeCell ref="A21:C21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34" customWidth="1" min="4" max="4"/>
    <col width="40" customWidth="1" min="5" max="5"/>
  </cols>
  <sheetData>
    <row r="1" ht="26" customHeight="1">
      <c r="A1" s="1" t="inlineStr">
        <is>
          <t>PARTECIPANTI E ORDINE BASE</t>
        </is>
      </c>
      <c r="B1" s="2" t="n"/>
      <c r="C1" s="2" t="n"/>
      <c r="D1" s="2" t="n"/>
      <c r="E1" s="2" t="n"/>
    </row>
    <row r="2" ht="17" customHeight="1">
      <c r="A2" s="3" t="inlineStr">
        <is>
          <t>Trinitapoli → Foggia → Trinitapoli</t>
        </is>
      </c>
      <c r="B2" s="2" t="n"/>
      <c r="C2" s="2" t="n"/>
      <c r="D2" s="2" t="n"/>
      <c r="E2" s="2" t="n"/>
    </row>
    <row r="4" ht="30" customHeight="1">
      <c r="A4" s="7" t="inlineStr">
        <is>
          <t>N.</t>
        </is>
      </c>
      <c r="B4" s="7" t="inlineStr">
        <is>
          <t>Nome</t>
        </is>
      </c>
      <c r="C4" s="7" t="inlineStr">
        <is>
          <t>Giorno base</t>
        </is>
      </c>
      <c r="D4" s="7" t="inlineStr">
        <is>
          <t>Tratta</t>
        </is>
      </c>
      <c r="E4" s="7" t="inlineStr">
        <is>
          <t>Note</t>
        </is>
      </c>
    </row>
    <row r="5" ht="18" customHeight="1">
      <c r="A5" s="8" t="n">
        <v>1</v>
      </c>
      <c r="B5" s="9" t="inlineStr">
        <is>
          <t>Nicola</t>
        </is>
      </c>
      <c r="C5" s="8" t="inlineStr">
        <is>
          <t>Lunedì</t>
        </is>
      </c>
      <c r="D5" s="10" t="inlineStr">
        <is>
          <t>Trinitapoli → Foggia → Trinitapoli</t>
        </is>
      </c>
      <c r="E5" s="11" t="inlineStr"/>
    </row>
    <row r="6" ht="18" customHeight="1">
      <c r="A6" s="8" t="n">
        <v>2</v>
      </c>
      <c r="B6" s="9" t="inlineStr">
        <is>
          <t>Stefano</t>
        </is>
      </c>
      <c r="C6" s="8" t="inlineStr">
        <is>
          <t>Martedì</t>
        </is>
      </c>
      <c r="D6" s="10" t="inlineStr">
        <is>
          <t>Trinitapoli → Foggia → Trinitapoli</t>
        </is>
      </c>
      <c r="E6" s="11" t="inlineStr"/>
    </row>
    <row r="7" ht="18" customHeight="1">
      <c r="A7" s="8" t="n">
        <v>3</v>
      </c>
      <c r="B7" s="9" t="inlineStr">
        <is>
          <t>Rocco</t>
        </is>
      </c>
      <c r="C7" s="8" t="inlineStr">
        <is>
          <t>Mercoledì</t>
        </is>
      </c>
      <c r="D7" s="10" t="inlineStr">
        <is>
          <t>Trinitapoli → Foggia → Trinitapoli</t>
        </is>
      </c>
      <c r="E7" s="11" t="inlineStr"/>
    </row>
    <row r="8" ht="18" customHeight="1">
      <c r="A8" s="8" t="n">
        <v>4</v>
      </c>
      <c r="B8" s="9" t="inlineStr">
        <is>
          <t>Giuseppe</t>
        </is>
      </c>
      <c r="C8" s="8" t="inlineStr">
        <is>
          <t>Giovedì</t>
        </is>
      </c>
      <c r="D8" s="10" t="inlineStr">
        <is>
          <t>Trinitapoli → Foggia → Trinitapoli</t>
        </is>
      </c>
      <c r="E8" s="11" t="inlineStr"/>
    </row>
    <row r="9" ht="18" customHeight="1">
      <c r="A9" s="8" t="n">
        <v>5</v>
      </c>
      <c r="B9" s="9" t="inlineStr">
        <is>
          <t>Savino</t>
        </is>
      </c>
      <c r="C9" s="8" t="inlineStr">
        <is>
          <t>Venerdì</t>
        </is>
      </c>
      <c r="D9" s="10" t="inlineStr">
        <is>
          <t>Trinitapoli → Foggia → Trinitapoli</t>
        </is>
      </c>
      <c r="E9" s="11" t="inlineStr"/>
    </row>
    <row r="11">
      <c r="B11" s="12" t="inlineStr">
        <is>
          <t>Per cambiare un nominativo modificare la cella in colonna B: l'intero calendario si aggiorna automaticamente.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G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30" customWidth="1" min="4" max="4"/>
    <col width="24" customWidth="1" min="5" max="5"/>
    <col width="20" customWidth="1" min="6" max="6"/>
    <col width="40" customWidth="1" min="7" max="7"/>
  </cols>
  <sheetData>
    <row r="1" ht="26" customHeight="1">
      <c r="A1" s="1" t="inlineStr">
        <is>
          <t>ASSENZE E IMPEDIMENTI</t>
        </is>
      </c>
      <c r="B1" s="2" t="n"/>
      <c r="C1" s="2" t="n"/>
      <c r="D1" s="2" t="n"/>
      <c r="E1" s="2" t="n"/>
      <c r="F1" s="2" t="n"/>
      <c r="G1" s="2" t="n"/>
    </row>
    <row r="2" ht="17" customHeight="1">
      <c r="A2" s="3" t="inlineStr">
        <is>
          <t>Unico foglio da compilare a mano · le celle gialle sono editabili</t>
        </is>
      </c>
      <c r="B2" s="2" t="n"/>
      <c r="C2" s="2" t="n"/>
      <c r="D2" s="2" t="n"/>
      <c r="E2" s="2" t="n"/>
      <c r="F2" s="2" t="n"/>
      <c r="G2" s="2" t="n"/>
    </row>
    <row r="4" ht="30" customHeight="1">
      <c r="A4" s="7" t="inlineStr">
        <is>
          <t>Settimana</t>
        </is>
      </c>
      <c r="B4" s="7" t="inlineStr">
        <is>
          <t>Periodo della settimana</t>
        </is>
      </c>
      <c r="C4" s="7" t="inlineStr">
        <is>
          <t>Persona</t>
        </is>
      </c>
      <c r="D4" s="7" t="inlineStr">
        <is>
          <t>Tipo di assenza</t>
        </is>
      </c>
      <c r="E4" s="7" t="inlineStr">
        <is>
          <t>Data (solo per «Altro motivo»)</t>
        </is>
      </c>
      <c r="F4" s="7" t="inlineStr">
        <is>
          <t>Turno da recuperare?</t>
        </is>
      </c>
      <c r="G4" s="7" t="inlineStr">
        <is>
          <t>Note</t>
        </is>
      </c>
    </row>
    <row r="5" ht="16" customHeight="1">
      <c r="A5" s="13" t="n"/>
      <c r="B5" s="8">
        <f>IF($A5="","",TEXT(Calcoli!$AB$6+($A5-1)*7,"dd/mm/yyyy")&amp;" - "&amp;TEXT(Calcoli!$AB$6+($A5-1)*7+4,"dd/mm/yyyy"))</f>
        <v/>
      </c>
      <c r="C5" s="13" t="n"/>
      <c r="D5" s="11" t="n"/>
      <c r="E5" s="14" t="n"/>
      <c r="F5" s="8">
        <f>IF($D5="","",IF(OR($D5="Licenza - settimana intera",$D5="Attività esterna - settimana intera"),"NO - non recuperabile","SI - settimana successiva"))</f>
        <v/>
      </c>
      <c r="G5" s="11" t="n"/>
    </row>
    <row r="6" ht="16" customHeight="1">
      <c r="A6" s="13" t="n"/>
      <c r="B6" s="8">
        <f>IF($A6="","",TEXT(Calcoli!$AB$6+($A6-1)*7,"dd/mm/yyyy")&amp;" - "&amp;TEXT(Calcoli!$AB$6+($A6-1)*7+4,"dd/mm/yyyy"))</f>
        <v/>
      </c>
      <c r="C6" s="13" t="n"/>
      <c r="D6" s="11" t="n"/>
      <c r="E6" s="14" t="n"/>
      <c r="F6" s="8">
        <f>IF($D6="","",IF(OR($D6="Licenza - settimana intera",$D6="Attività esterna - settimana intera"),"NO - non recuperabile","SI - settimana successiva"))</f>
        <v/>
      </c>
      <c r="G6" s="11" t="n"/>
    </row>
    <row r="7" ht="16" customHeight="1">
      <c r="A7" s="13" t="n"/>
      <c r="B7" s="8">
        <f>IF($A7="","",TEXT(Calcoli!$AB$6+($A7-1)*7,"dd/mm/yyyy")&amp;" - "&amp;TEXT(Calcoli!$AB$6+($A7-1)*7+4,"dd/mm/yyyy"))</f>
        <v/>
      </c>
      <c r="C7" s="13" t="n"/>
      <c r="D7" s="11" t="n"/>
      <c r="E7" s="14" t="n"/>
      <c r="F7" s="8">
        <f>IF($D7="","",IF(OR($D7="Licenza - settimana intera",$D7="Attività esterna - settimana intera"),"NO - non recuperabile","SI - settimana successiva"))</f>
        <v/>
      </c>
      <c r="G7" s="11" t="n"/>
    </row>
    <row r="8" ht="16" customHeight="1">
      <c r="A8" s="13" t="n"/>
      <c r="B8" s="8">
        <f>IF($A8="","",TEXT(Calcoli!$AB$6+($A8-1)*7,"dd/mm/yyyy")&amp;" - "&amp;TEXT(Calcoli!$AB$6+($A8-1)*7+4,"dd/mm/yyyy"))</f>
        <v/>
      </c>
      <c r="C8" s="13" t="n"/>
      <c r="D8" s="11" t="n"/>
      <c r="E8" s="14" t="n"/>
      <c r="F8" s="8">
        <f>IF($D8="","",IF(OR($D8="Licenza - settimana intera",$D8="Attività esterna - settimana intera"),"NO - non recuperabile","SI - settimana successiva"))</f>
        <v/>
      </c>
      <c r="G8" s="11" t="n"/>
    </row>
    <row r="9" ht="16" customHeight="1">
      <c r="A9" s="13" t="n"/>
      <c r="B9" s="8">
        <f>IF($A9="","",TEXT(Calcoli!$AB$6+($A9-1)*7,"dd/mm/yyyy")&amp;" - "&amp;TEXT(Calcoli!$AB$6+($A9-1)*7+4,"dd/mm/yyyy"))</f>
        <v/>
      </c>
      <c r="C9" s="13" t="n"/>
      <c r="D9" s="11" t="n"/>
      <c r="E9" s="14" t="n"/>
      <c r="F9" s="8">
        <f>IF($D9="","",IF(OR($D9="Licenza - settimana intera",$D9="Attività esterna - settimana intera"),"NO - non recuperabile","SI - settimana successiva"))</f>
        <v/>
      </c>
      <c r="G9" s="11" t="n"/>
    </row>
    <row r="10" ht="16" customHeight="1">
      <c r="A10" s="13" t="n"/>
      <c r="B10" s="8">
        <f>IF($A10="","",TEXT(Calcoli!$AB$6+($A10-1)*7,"dd/mm/yyyy")&amp;" - "&amp;TEXT(Calcoli!$AB$6+($A10-1)*7+4,"dd/mm/yyyy"))</f>
        <v/>
      </c>
      <c r="C10" s="13" t="n"/>
      <c r="D10" s="11" t="n"/>
      <c r="E10" s="14" t="n"/>
      <c r="F10" s="8">
        <f>IF($D10="","",IF(OR($D10="Licenza - settimana intera",$D10="Attività esterna - settimana intera"),"NO - non recuperabile","SI - settimana successiva"))</f>
        <v/>
      </c>
      <c r="G10" s="11" t="n"/>
    </row>
    <row r="11" ht="16" customHeight="1">
      <c r="A11" s="13" t="n"/>
      <c r="B11" s="8">
        <f>IF($A11="","",TEXT(Calcoli!$AB$6+($A11-1)*7,"dd/mm/yyyy")&amp;" - "&amp;TEXT(Calcoli!$AB$6+($A11-1)*7+4,"dd/mm/yyyy"))</f>
        <v/>
      </c>
      <c r="C11" s="13" t="n"/>
      <c r="D11" s="11" t="n"/>
      <c r="E11" s="14" t="n"/>
      <c r="F11" s="8">
        <f>IF($D11="","",IF(OR($D11="Licenza - settimana intera",$D11="Attività esterna - settimana intera"),"NO - non recuperabile","SI - settimana successiva"))</f>
        <v/>
      </c>
      <c r="G11" s="11" t="n"/>
    </row>
    <row r="12" ht="16" customHeight="1">
      <c r="A12" s="13" t="n"/>
      <c r="B12" s="8">
        <f>IF($A12="","",TEXT(Calcoli!$AB$6+($A12-1)*7,"dd/mm/yyyy")&amp;" - "&amp;TEXT(Calcoli!$AB$6+($A12-1)*7+4,"dd/mm/yyyy"))</f>
        <v/>
      </c>
      <c r="C12" s="13" t="n"/>
      <c r="D12" s="11" t="n"/>
      <c r="E12" s="14" t="n"/>
      <c r="F12" s="8">
        <f>IF($D12="","",IF(OR($D12="Licenza - settimana intera",$D12="Attività esterna - settimana intera"),"NO - non recuperabile","SI - settimana successiva"))</f>
        <v/>
      </c>
      <c r="G12" s="11" t="n"/>
    </row>
    <row r="13" ht="16" customHeight="1">
      <c r="A13" s="13" t="n"/>
      <c r="B13" s="8">
        <f>IF($A13="","",TEXT(Calcoli!$AB$6+($A13-1)*7,"dd/mm/yyyy")&amp;" - "&amp;TEXT(Calcoli!$AB$6+($A13-1)*7+4,"dd/mm/yyyy"))</f>
        <v/>
      </c>
      <c r="C13" s="13" t="n"/>
      <c r="D13" s="11" t="n"/>
      <c r="E13" s="14" t="n"/>
      <c r="F13" s="8">
        <f>IF($D13="","",IF(OR($D13="Licenza - settimana intera",$D13="Attività esterna - settimana intera"),"NO - non recuperabile","SI - settimana successiva"))</f>
        <v/>
      </c>
      <c r="G13" s="11" t="n"/>
    </row>
    <row r="14" ht="16" customHeight="1">
      <c r="A14" s="13" t="n"/>
      <c r="B14" s="8">
        <f>IF($A14="","",TEXT(Calcoli!$AB$6+($A14-1)*7,"dd/mm/yyyy")&amp;" - "&amp;TEXT(Calcoli!$AB$6+($A14-1)*7+4,"dd/mm/yyyy"))</f>
        <v/>
      </c>
      <c r="C14" s="13" t="n"/>
      <c r="D14" s="11" t="n"/>
      <c r="E14" s="14" t="n"/>
      <c r="F14" s="8">
        <f>IF($D14="","",IF(OR($D14="Licenza - settimana intera",$D14="Attività esterna - settimana intera"),"NO - non recuperabile","SI - settimana successiva"))</f>
        <v/>
      </c>
      <c r="G14" s="11" t="n"/>
    </row>
    <row r="15" ht="16" customHeight="1">
      <c r="A15" s="13" t="n"/>
      <c r="B15" s="8">
        <f>IF($A15="","",TEXT(Calcoli!$AB$6+($A15-1)*7,"dd/mm/yyyy")&amp;" - "&amp;TEXT(Calcoli!$AB$6+($A15-1)*7+4,"dd/mm/yyyy"))</f>
        <v/>
      </c>
      <c r="C15" s="13" t="n"/>
      <c r="D15" s="11" t="n"/>
      <c r="E15" s="14" t="n"/>
      <c r="F15" s="8">
        <f>IF($D15="","",IF(OR($D15="Licenza - settimana intera",$D15="Attività esterna - settimana intera"),"NO - non recuperabile","SI - settimana successiva"))</f>
        <v/>
      </c>
      <c r="G15" s="11" t="n"/>
    </row>
    <row r="16" ht="16" customHeight="1">
      <c r="A16" s="13" t="n"/>
      <c r="B16" s="8">
        <f>IF($A16="","",TEXT(Calcoli!$AB$6+($A16-1)*7,"dd/mm/yyyy")&amp;" - "&amp;TEXT(Calcoli!$AB$6+($A16-1)*7+4,"dd/mm/yyyy"))</f>
        <v/>
      </c>
      <c r="C16" s="13" t="n"/>
      <c r="D16" s="11" t="n"/>
      <c r="E16" s="14" t="n"/>
      <c r="F16" s="8">
        <f>IF($D16="","",IF(OR($D16="Licenza - settimana intera",$D16="Attività esterna - settimana intera"),"NO - non recuperabile","SI - settimana successiva"))</f>
        <v/>
      </c>
      <c r="G16" s="11" t="n"/>
    </row>
    <row r="17" ht="16" customHeight="1">
      <c r="A17" s="13" t="n"/>
      <c r="B17" s="8">
        <f>IF($A17="","",TEXT(Calcoli!$AB$6+($A17-1)*7,"dd/mm/yyyy")&amp;" - "&amp;TEXT(Calcoli!$AB$6+($A17-1)*7+4,"dd/mm/yyyy"))</f>
        <v/>
      </c>
      <c r="C17" s="13" t="n"/>
      <c r="D17" s="11" t="n"/>
      <c r="E17" s="14" t="n"/>
      <c r="F17" s="8">
        <f>IF($D17="","",IF(OR($D17="Licenza - settimana intera",$D17="Attività esterna - settimana intera"),"NO - non recuperabile","SI - settimana successiva"))</f>
        <v/>
      </c>
      <c r="G17" s="11" t="n"/>
    </row>
    <row r="18" ht="16" customHeight="1">
      <c r="A18" s="13" t="n"/>
      <c r="B18" s="8">
        <f>IF($A18="","",TEXT(Calcoli!$AB$6+($A18-1)*7,"dd/mm/yyyy")&amp;" - "&amp;TEXT(Calcoli!$AB$6+($A18-1)*7+4,"dd/mm/yyyy"))</f>
        <v/>
      </c>
      <c r="C18" s="13" t="n"/>
      <c r="D18" s="11" t="n"/>
      <c r="E18" s="14" t="n"/>
      <c r="F18" s="8">
        <f>IF($D18="","",IF(OR($D18="Licenza - settimana intera",$D18="Attività esterna - settimana intera"),"NO - non recuperabile","SI - settimana successiva"))</f>
        <v/>
      </c>
      <c r="G18" s="11" t="n"/>
    </row>
    <row r="19" ht="16" customHeight="1">
      <c r="A19" s="13" t="n"/>
      <c r="B19" s="8">
        <f>IF($A19="","",TEXT(Calcoli!$AB$6+($A19-1)*7,"dd/mm/yyyy")&amp;" - "&amp;TEXT(Calcoli!$AB$6+($A19-1)*7+4,"dd/mm/yyyy"))</f>
        <v/>
      </c>
      <c r="C19" s="13" t="n"/>
      <c r="D19" s="11" t="n"/>
      <c r="E19" s="14" t="n"/>
      <c r="F19" s="8">
        <f>IF($D19="","",IF(OR($D19="Licenza - settimana intera",$D19="Attività esterna - settimana intera"),"NO - non recuperabile","SI - settimana successiva"))</f>
        <v/>
      </c>
      <c r="G19" s="11" t="n"/>
    </row>
    <row r="20" ht="16" customHeight="1">
      <c r="A20" s="13" t="n"/>
      <c r="B20" s="8">
        <f>IF($A20="","",TEXT(Calcoli!$AB$6+($A20-1)*7,"dd/mm/yyyy")&amp;" - "&amp;TEXT(Calcoli!$AB$6+($A20-1)*7+4,"dd/mm/yyyy"))</f>
        <v/>
      </c>
      <c r="C20" s="13" t="n"/>
      <c r="D20" s="11" t="n"/>
      <c r="E20" s="14" t="n"/>
      <c r="F20" s="8">
        <f>IF($D20="","",IF(OR($D20="Licenza - settimana intera",$D20="Attività esterna - settimana intera"),"NO - non recuperabile","SI - settimana successiva"))</f>
        <v/>
      </c>
      <c r="G20" s="11" t="n"/>
    </row>
    <row r="21" ht="16" customHeight="1">
      <c r="A21" s="13" t="n"/>
      <c r="B21" s="8">
        <f>IF($A21="","",TEXT(Calcoli!$AB$6+($A21-1)*7,"dd/mm/yyyy")&amp;" - "&amp;TEXT(Calcoli!$AB$6+($A21-1)*7+4,"dd/mm/yyyy"))</f>
        <v/>
      </c>
      <c r="C21" s="13" t="n"/>
      <c r="D21" s="11" t="n"/>
      <c r="E21" s="14" t="n"/>
      <c r="F21" s="8">
        <f>IF($D21="","",IF(OR($D21="Licenza - settimana intera",$D21="Attività esterna - settimana intera"),"NO - non recuperabile","SI - settimana successiva"))</f>
        <v/>
      </c>
      <c r="G21" s="11" t="n"/>
    </row>
    <row r="22" ht="16" customHeight="1">
      <c r="A22" s="13" t="n"/>
      <c r="B22" s="8">
        <f>IF($A22="","",TEXT(Calcoli!$AB$6+($A22-1)*7,"dd/mm/yyyy")&amp;" - "&amp;TEXT(Calcoli!$AB$6+($A22-1)*7+4,"dd/mm/yyyy"))</f>
        <v/>
      </c>
      <c r="C22" s="13" t="n"/>
      <c r="D22" s="11" t="n"/>
      <c r="E22" s="14" t="n"/>
      <c r="F22" s="8">
        <f>IF($D22="","",IF(OR($D22="Licenza - settimana intera",$D22="Attività esterna - settimana intera"),"NO - non recuperabile","SI - settimana successiva"))</f>
        <v/>
      </c>
      <c r="G22" s="11" t="n"/>
    </row>
    <row r="23" ht="16" customHeight="1">
      <c r="A23" s="13" t="n"/>
      <c r="B23" s="8">
        <f>IF($A23="","",TEXT(Calcoli!$AB$6+($A23-1)*7,"dd/mm/yyyy")&amp;" - "&amp;TEXT(Calcoli!$AB$6+($A23-1)*7+4,"dd/mm/yyyy"))</f>
        <v/>
      </c>
      <c r="C23" s="13" t="n"/>
      <c r="D23" s="11" t="n"/>
      <c r="E23" s="14" t="n"/>
      <c r="F23" s="8">
        <f>IF($D23="","",IF(OR($D23="Licenza - settimana intera",$D23="Attività esterna - settimana intera"),"NO - non recuperabile","SI - settimana successiva"))</f>
        <v/>
      </c>
      <c r="G23" s="11" t="n"/>
    </row>
    <row r="24" ht="16" customHeight="1">
      <c r="A24" s="13" t="n"/>
      <c r="B24" s="8">
        <f>IF($A24="","",TEXT(Calcoli!$AB$6+($A24-1)*7,"dd/mm/yyyy")&amp;" - "&amp;TEXT(Calcoli!$AB$6+($A24-1)*7+4,"dd/mm/yyyy"))</f>
        <v/>
      </c>
      <c r="C24" s="13" t="n"/>
      <c r="D24" s="11" t="n"/>
      <c r="E24" s="14" t="n"/>
      <c r="F24" s="8">
        <f>IF($D24="","",IF(OR($D24="Licenza - settimana intera",$D24="Attività esterna - settimana intera"),"NO - non recuperabile","SI - settimana successiva"))</f>
        <v/>
      </c>
      <c r="G24" s="11" t="n"/>
    </row>
    <row r="25" ht="16" customHeight="1">
      <c r="A25" s="13" t="n"/>
      <c r="B25" s="8">
        <f>IF($A25="","",TEXT(Calcoli!$AB$6+($A25-1)*7,"dd/mm/yyyy")&amp;" - "&amp;TEXT(Calcoli!$AB$6+($A25-1)*7+4,"dd/mm/yyyy"))</f>
        <v/>
      </c>
      <c r="C25" s="13" t="n"/>
      <c r="D25" s="11" t="n"/>
      <c r="E25" s="14" t="n"/>
      <c r="F25" s="8">
        <f>IF($D25="","",IF(OR($D25="Licenza - settimana intera",$D25="Attività esterna - settimana intera"),"NO - non recuperabile","SI - settimana successiva"))</f>
        <v/>
      </c>
      <c r="G25" s="11" t="n"/>
    </row>
    <row r="26" ht="16" customHeight="1">
      <c r="A26" s="13" t="n"/>
      <c r="B26" s="8">
        <f>IF($A26="","",TEXT(Calcoli!$AB$6+($A26-1)*7,"dd/mm/yyyy")&amp;" - "&amp;TEXT(Calcoli!$AB$6+($A26-1)*7+4,"dd/mm/yyyy"))</f>
        <v/>
      </c>
      <c r="C26" s="13" t="n"/>
      <c r="D26" s="11" t="n"/>
      <c r="E26" s="14" t="n"/>
      <c r="F26" s="8">
        <f>IF($D26="","",IF(OR($D26="Licenza - settimana intera",$D26="Attività esterna - settimana intera"),"NO - non recuperabile","SI - settimana successiva"))</f>
        <v/>
      </c>
      <c r="G26" s="11" t="n"/>
    </row>
    <row r="27" ht="16" customHeight="1">
      <c r="A27" s="13" t="n"/>
      <c r="B27" s="8">
        <f>IF($A27="","",TEXT(Calcoli!$AB$6+($A27-1)*7,"dd/mm/yyyy")&amp;" - "&amp;TEXT(Calcoli!$AB$6+($A27-1)*7+4,"dd/mm/yyyy"))</f>
        <v/>
      </c>
      <c r="C27" s="13" t="n"/>
      <c r="D27" s="11" t="n"/>
      <c r="E27" s="14" t="n"/>
      <c r="F27" s="8">
        <f>IF($D27="","",IF(OR($D27="Licenza - settimana intera",$D27="Attività esterna - settimana intera"),"NO - non recuperabile","SI - settimana successiva"))</f>
        <v/>
      </c>
      <c r="G27" s="11" t="n"/>
    </row>
    <row r="28" ht="16" customHeight="1">
      <c r="A28" s="13" t="n"/>
      <c r="B28" s="8">
        <f>IF($A28="","",TEXT(Calcoli!$AB$6+($A28-1)*7,"dd/mm/yyyy")&amp;" - "&amp;TEXT(Calcoli!$AB$6+($A28-1)*7+4,"dd/mm/yyyy"))</f>
        <v/>
      </c>
      <c r="C28" s="13" t="n"/>
      <c r="D28" s="11" t="n"/>
      <c r="E28" s="14" t="n"/>
      <c r="F28" s="8">
        <f>IF($D28="","",IF(OR($D28="Licenza - settimana intera",$D28="Attività esterna - settimana intera"),"NO - non recuperabile","SI - settimana successiva"))</f>
        <v/>
      </c>
      <c r="G28" s="11" t="n"/>
    </row>
    <row r="29" ht="16" customHeight="1">
      <c r="A29" s="13" t="n"/>
      <c r="B29" s="8">
        <f>IF($A29="","",TEXT(Calcoli!$AB$6+($A29-1)*7,"dd/mm/yyyy")&amp;" - "&amp;TEXT(Calcoli!$AB$6+($A29-1)*7+4,"dd/mm/yyyy"))</f>
        <v/>
      </c>
      <c r="C29" s="13" t="n"/>
      <c r="D29" s="11" t="n"/>
      <c r="E29" s="14" t="n"/>
      <c r="F29" s="8">
        <f>IF($D29="","",IF(OR($D29="Licenza - settimana intera",$D29="Attività esterna - settimana intera"),"NO - non recuperabile","SI - settimana successiva"))</f>
        <v/>
      </c>
      <c r="G29" s="11" t="n"/>
    </row>
    <row r="30" ht="16" customHeight="1">
      <c r="A30" s="13" t="n"/>
      <c r="B30" s="8">
        <f>IF($A30="","",TEXT(Calcoli!$AB$6+($A30-1)*7,"dd/mm/yyyy")&amp;" - "&amp;TEXT(Calcoli!$AB$6+($A30-1)*7+4,"dd/mm/yyyy"))</f>
        <v/>
      </c>
      <c r="C30" s="13" t="n"/>
      <c r="D30" s="11" t="n"/>
      <c r="E30" s="14" t="n"/>
      <c r="F30" s="8">
        <f>IF($D30="","",IF(OR($D30="Licenza - settimana intera",$D30="Attività esterna - settimana intera"),"NO - non recuperabile","SI - settimana successiva"))</f>
        <v/>
      </c>
      <c r="G30" s="11" t="n"/>
    </row>
    <row r="31" ht="16" customHeight="1">
      <c r="A31" s="13" t="n"/>
      <c r="B31" s="8">
        <f>IF($A31="","",TEXT(Calcoli!$AB$6+($A31-1)*7,"dd/mm/yyyy")&amp;" - "&amp;TEXT(Calcoli!$AB$6+($A31-1)*7+4,"dd/mm/yyyy"))</f>
        <v/>
      </c>
      <c r="C31" s="13" t="n"/>
      <c r="D31" s="11" t="n"/>
      <c r="E31" s="14" t="n"/>
      <c r="F31" s="8">
        <f>IF($D31="","",IF(OR($D31="Licenza - settimana intera",$D31="Attività esterna - settimana intera"),"NO - non recuperabile","SI - settimana successiva"))</f>
        <v/>
      </c>
      <c r="G31" s="11" t="n"/>
    </row>
    <row r="32" ht="16" customHeight="1">
      <c r="A32" s="13" t="n"/>
      <c r="B32" s="8">
        <f>IF($A32="","",TEXT(Calcoli!$AB$6+($A32-1)*7,"dd/mm/yyyy")&amp;" - "&amp;TEXT(Calcoli!$AB$6+($A32-1)*7+4,"dd/mm/yyyy"))</f>
        <v/>
      </c>
      <c r="C32" s="13" t="n"/>
      <c r="D32" s="11" t="n"/>
      <c r="E32" s="14" t="n"/>
      <c r="F32" s="8">
        <f>IF($D32="","",IF(OR($D32="Licenza - settimana intera",$D32="Attività esterna - settimana intera"),"NO - non recuperabile","SI - settimana successiva"))</f>
        <v/>
      </c>
      <c r="G32" s="11" t="n"/>
    </row>
    <row r="33" ht="16" customHeight="1">
      <c r="A33" s="13" t="n"/>
      <c r="B33" s="8">
        <f>IF($A33="","",TEXT(Calcoli!$AB$6+($A33-1)*7,"dd/mm/yyyy")&amp;" - "&amp;TEXT(Calcoli!$AB$6+($A33-1)*7+4,"dd/mm/yyyy"))</f>
        <v/>
      </c>
      <c r="C33" s="13" t="n"/>
      <c r="D33" s="11" t="n"/>
      <c r="E33" s="14" t="n"/>
      <c r="F33" s="8">
        <f>IF($D33="","",IF(OR($D33="Licenza - settimana intera",$D33="Attività esterna - settimana intera"),"NO - non recuperabile","SI - settimana successiva"))</f>
        <v/>
      </c>
      <c r="G33" s="11" t="n"/>
    </row>
    <row r="34" ht="16" customHeight="1">
      <c r="A34" s="13" t="n"/>
      <c r="B34" s="8">
        <f>IF($A34="","",TEXT(Calcoli!$AB$6+($A34-1)*7,"dd/mm/yyyy")&amp;" - "&amp;TEXT(Calcoli!$AB$6+($A34-1)*7+4,"dd/mm/yyyy"))</f>
        <v/>
      </c>
      <c r="C34" s="13" t="n"/>
      <c r="D34" s="11" t="n"/>
      <c r="E34" s="14" t="n"/>
      <c r="F34" s="8">
        <f>IF($D34="","",IF(OR($D34="Licenza - settimana intera",$D34="Attività esterna - settimana intera"),"NO - non recuperabile","SI - settimana successiva"))</f>
        <v/>
      </c>
      <c r="G34" s="11" t="n"/>
    </row>
    <row r="35" ht="16" customHeight="1">
      <c r="A35" s="13" t="n"/>
      <c r="B35" s="8">
        <f>IF($A35="","",TEXT(Calcoli!$AB$6+($A35-1)*7,"dd/mm/yyyy")&amp;" - "&amp;TEXT(Calcoli!$AB$6+($A35-1)*7+4,"dd/mm/yyyy"))</f>
        <v/>
      </c>
      <c r="C35" s="13" t="n"/>
      <c r="D35" s="11" t="n"/>
      <c r="E35" s="14" t="n"/>
      <c r="F35" s="8">
        <f>IF($D35="","",IF(OR($D35="Licenza - settimana intera",$D35="Attività esterna - settimana intera"),"NO - non recuperabile","SI - settimana successiva"))</f>
        <v/>
      </c>
      <c r="G35" s="11" t="n"/>
    </row>
    <row r="36" ht="16" customHeight="1">
      <c r="A36" s="13" t="n"/>
      <c r="B36" s="8">
        <f>IF($A36="","",TEXT(Calcoli!$AB$6+($A36-1)*7,"dd/mm/yyyy")&amp;" - "&amp;TEXT(Calcoli!$AB$6+($A36-1)*7+4,"dd/mm/yyyy"))</f>
        <v/>
      </c>
      <c r="C36" s="13" t="n"/>
      <c r="D36" s="11" t="n"/>
      <c r="E36" s="14" t="n"/>
      <c r="F36" s="8">
        <f>IF($D36="","",IF(OR($D36="Licenza - settimana intera",$D36="Attività esterna - settimana intera"),"NO - non recuperabile","SI - settimana successiva"))</f>
        <v/>
      </c>
      <c r="G36" s="11" t="n"/>
    </row>
    <row r="37" ht="16" customHeight="1">
      <c r="A37" s="13" t="n"/>
      <c r="B37" s="8">
        <f>IF($A37="","",TEXT(Calcoli!$AB$6+($A37-1)*7,"dd/mm/yyyy")&amp;" - "&amp;TEXT(Calcoli!$AB$6+($A37-1)*7+4,"dd/mm/yyyy"))</f>
        <v/>
      </c>
      <c r="C37" s="13" t="n"/>
      <c r="D37" s="11" t="n"/>
      <c r="E37" s="14" t="n"/>
      <c r="F37" s="8">
        <f>IF($D37="","",IF(OR($D37="Licenza - settimana intera",$D37="Attività esterna - settimana intera"),"NO - non recuperabile","SI - settimana successiva"))</f>
        <v/>
      </c>
      <c r="G37" s="11" t="n"/>
    </row>
    <row r="38" ht="16" customHeight="1">
      <c r="A38" s="13" t="n"/>
      <c r="B38" s="8">
        <f>IF($A38="","",TEXT(Calcoli!$AB$6+($A38-1)*7,"dd/mm/yyyy")&amp;" - "&amp;TEXT(Calcoli!$AB$6+($A38-1)*7+4,"dd/mm/yyyy"))</f>
        <v/>
      </c>
      <c r="C38" s="13" t="n"/>
      <c r="D38" s="11" t="n"/>
      <c r="E38" s="14" t="n"/>
      <c r="F38" s="8">
        <f>IF($D38="","",IF(OR($D38="Licenza - settimana intera",$D38="Attività esterna - settimana intera"),"NO - non recuperabile","SI - settimana successiva"))</f>
        <v/>
      </c>
      <c r="G38" s="11" t="n"/>
    </row>
    <row r="39" ht="16" customHeight="1">
      <c r="A39" s="13" t="n"/>
      <c r="B39" s="8">
        <f>IF($A39="","",TEXT(Calcoli!$AB$6+($A39-1)*7,"dd/mm/yyyy")&amp;" - "&amp;TEXT(Calcoli!$AB$6+($A39-1)*7+4,"dd/mm/yyyy"))</f>
        <v/>
      </c>
      <c r="C39" s="13" t="n"/>
      <c r="D39" s="11" t="n"/>
      <c r="E39" s="14" t="n"/>
      <c r="F39" s="8">
        <f>IF($D39="","",IF(OR($D39="Licenza - settimana intera",$D39="Attività esterna - settimana intera"),"NO - non recuperabile","SI - settimana successiva"))</f>
        <v/>
      </c>
      <c r="G39" s="11" t="n"/>
    </row>
    <row r="40" ht="16" customHeight="1">
      <c r="A40" s="13" t="n"/>
      <c r="B40" s="8">
        <f>IF($A40="","",TEXT(Calcoli!$AB$6+($A40-1)*7,"dd/mm/yyyy")&amp;" - "&amp;TEXT(Calcoli!$AB$6+($A40-1)*7+4,"dd/mm/yyyy"))</f>
        <v/>
      </c>
      <c r="C40" s="13" t="n"/>
      <c r="D40" s="11" t="n"/>
      <c r="E40" s="14" t="n"/>
      <c r="F40" s="8">
        <f>IF($D40="","",IF(OR($D40="Licenza - settimana intera",$D40="Attività esterna - settimana intera"),"NO - non recuperabile","SI - settimana successiva"))</f>
        <v/>
      </c>
      <c r="G40" s="11" t="n"/>
    </row>
    <row r="41" ht="16" customHeight="1">
      <c r="A41" s="13" t="n"/>
      <c r="B41" s="8">
        <f>IF($A41="","",TEXT(Calcoli!$AB$6+($A41-1)*7,"dd/mm/yyyy")&amp;" - "&amp;TEXT(Calcoli!$AB$6+($A41-1)*7+4,"dd/mm/yyyy"))</f>
        <v/>
      </c>
      <c r="C41" s="13" t="n"/>
      <c r="D41" s="11" t="n"/>
      <c r="E41" s="14" t="n"/>
      <c r="F41" s="8">
        <f>IF($D41="","",IF(OR($D41="Licenza - settimana intera",$D41="Attività esterna - settimana intera"),"NO - non recuperabile","SI - settimana successiva"))</f>
        <v/>
      </c>
      <c r="G41" s="11" t="n"/>
    </row>
    <row r="42" ht="16" customHeight="1">
      <c r="A42" s="13" t="n"/>
      <c r="B42" s="8">
        <f>IF($A42="","",TEXT(Calcoli!$AB$6+($A42-1)*7,"dd/mm/yyyy")&amp;" - "&amp;TEXT(Calcoli!$AB$6+($A42-1)*7+4,"dd/mm/yyyy"))</f>
        <v/>
      </c>
      <c r="C42" s="13" t="n"/>
      <c r="D42" s="11" t="n"/>
      <c r="E42" s="14" t="n"/>
      <c r="F42" s="8">
        <f>IF($D42="","",IF(OR($D42="Licenza - settimana intera",$D42="Attività esterna - settimana intera"),"NO - non recuperabile","SI - settimana successiva"))</f>
        <v/>
      </c>
      <c r="G42" s="11" t="n"/>
    </row>
    <row r="43" ht="16" customHeight="1">
      <c r="A43" s="13" t="n"/>
      <c r="B43" s="8">
        <f>IF($A43="","",TEXT(Calcoli!$AB$6+($A43-1)*7,"dd/mm/yyyy")&amp;" - "&amp;TEXT(Calcoli!$AB$6+($A43-1)*7+4,"dd/mm/yyyy"))</f>
        <v/>
      </c>
      <c r="C43" s="13" t="n"/>
      <c r="D43" s="11" t="n"/>
      <c r="E43" s="14" t="n"/>
      <c r="F43" s="8">
        <f>IF($D43="","",IF(OR($D43="Licenza - settimana intera",$D43="Attività esterna - settimana intera"),"NO - non recuperabile","SI - settimana successiva"))</f>
        <v/>
      </c>
      <c r="G43" s="11" t="n"/>
    </row>
    <row r="44" ht="16" customHeight="1">
      <c r="A44" s="13" t="n"/>
      <c r="B44" s="8">
        <f>IF($A44="","",TEXT(Calcoli!$AB$6+($A44-1)*7,"dd/mm/yyyy")&amp;" - "&amp;TEXT(Calcoli!$AB$6+($A44-1)*7+4,"dd/mm/yyyy"))</f>
        <v/>
      </c>
      <c r="C44" s="13" t="n"/>
      <c r="D44" s="11" t="n"/>
      <c r="E44" s="14" t="n"/>
      <c r="F44" s="8">
        <f>IF($D44="","",IF(OR($D44="Licenza - settimana intera",$D44="Attività esterna - settimana intera"),"NO - non recuperabile","SI - settimana successiva"))</f>
        <v/>
      </c>
      <c r="G44" s="11" t="n"/>
    </row>
    <row r="45" ht="16" customHeight="1">
      <c r="A45" s="13" t="n"/>
      <c r="B45" s="8">
        <f>IF($A45="","",TEXT(Calcoli!$AB$6+($A45-1)*7,"dd/mm/yyyy")&amp;" - "&amp;TEXT(Calcoli!$AB$6+($A45-1)*7+4,"dd/mm/yyyy"))</f>
        <v/>
      </c>
      <c r="C45" s="13" t="n"/>
      <c r="D45" s="11" t="n"/>
      <c r="E45" s="14" t="n"/>
      <c r="F45" s="8">
        <f>IF($D45="","",IF(OR($D45="Licenza - settimana intera",$D45="Attività esterna - settimana intera"),"NO - non recuperabile","SI - settimana successiva"))</f>
        <v/>
      </c>
      <c r="G45" s="11" t="n"/>
    </row>
    <row r="46" ht="16" customHeight="1">
      <c r="A46" s="13" t="n"/>
      <c r="B46" s="8">
        <f>IF($A46="","",TEXT(Calcoli!$AB$6+($A46-1)*7,"dd/mm/yyyy")&amp;" - "&amp;TEXT(Calcoli!$AB$6+($A46-1)*7+4,"dd/mm/yyyy"))</f>
        <v/>
      </c>
      <c r="C46" s="13" t="n"/>
      <c r="D46" s="11" t="n"/>
      <c r="E46" s="14" t="n"/>
      <c r="F46" s="8">
        <f>IF($D46="","",IF(OR($D46="Licenza - settimana intera",$D46="Attività esterna - settimana intera"),"NO - non recuperabile","SI - settimana successiva"))</f>
        <v/>
      </c>
      <c r="G46" s="11" t="n"/>
    </row>
    <row r="47" ht="16" customHeight="1">
      <c r="A47" s="13" t="n"/>
      <c r="B47" s="8">
        <f>IF($A47="","",TEXT(Calcoli!$AB$6+($A47-1)*7,"dd/mm/yyyy")&amp;" - "&amp;TEXT(Calcoli!$AB$6+($A47-1)*7+4,"dd/mm/yyyy"))</f>
        <v/>
      </c>
      <c r="C47" s="13" t="n"/>
      <c r="D47" s="11" t="n"/>
      <c r="E47" s="14" t="n"/>
      <c r="F47" s="8">
        <f>IF($D47="","",IF(OR($D47="Licenza - settimana intera",$D47="Attività esterna - settimana intera"),"NO - non recuperabile","SI - settimana successiva"))</f>
        <v/>
      </c>
      <c r="G47" s="11" t="n"/>
    </row>
    <row r="48" ht="16" customHeight="1">
      <c r="A48" s="13" t="n"/>
      <c r="B48" s="8">
        <f>IF($A48="","",TEXT(Calcoli!$AB$6+($A48-1)*7,"dd/mm/yyyy")&amp;" - "&amp;TEXT(Calcoli!$AB$6+($A48-1)*7+4,"dd/mm/yyyy"))</f>
        <v/>
      </c>
      <c r="C48" s="13" t="n"/>
      <c r="D48" s="11" t="n"/>
      <c r="E48" s="14" t="n"/>
      <c r="F48" s="8">
        <f>IF($D48="","",IF(OR($D48="Licenza - settimana intera",$D48="Attività esterna - settimana intera"),"NO - non recuperabile","SI - settimana successiva"))</f>
        <v/>
      </c>
      <c r="G48" s="11" t="n"/>
    </row>
    <row r="49" ht="16" customHeight="1">
      <c r="A49" s="13" t="n"/>
      <c r="B49" s="8">
        <f>IF($A49="","",TEXT(Calcoli!$AB$6+($A49-1)*7,"dd/mm/yyyy")&amp;" - "&amp;TEXT(Calcoli!$AB$6+($A49-1)*7+4,"dd/mm/yyyy"))</f>
        <v/>
      </c>
      <c r="C49" s="13" t="n"/>
      <c r="D49" s="11" t="n"/>
      <c r="E49" s="14" t="n"/>
      <c r="F49" s="8">
        <f>IF($D49="","",IF(OR($D49="Licenza - settimana intera",$D49="Attività esterna - settimana intera"),"NO - non recuperabile","SI - settimana successiva"))</f>
        <v/>
      </c>
      <c r="G49" s="11" t="n"/>
    </row>
    <row r="50" ht="16" customHeight="1">
      <c r="A50" s="13" t="n"/>
      <c r="B50" s="8">
        <f>IF($A50="","",TEXT(Calcoli!$AB$6+($A50-1)*7,"dd/mm/yyyy")&amp;" - "&amp;TEXT(Calcoli!$AB$6+($A50-1)*7+4,"dd/mm/yyyy"))</f>
        <v/>
      </c>
      <c r="C50" s="13" t="n"/>
      <c r="D50" s="11" t="n"/>
      <c r="E50" s="14" t="n"/>
      <c r="F50" s="8">
        <f>IF($D50="","",IF(OR($D50="Licenza - settimana intera",$D50="Attività esterna - settimana intera"),"NO - non recuperabile","SI - settimana successiva"))</f>
        <v/>
      </c>
      <c r="G50" s="11" t="n"/>
    </row>
    <row r="51" ht="16" customHeight="1">
      <c r="A51" s="13" t="n"/>
      <c r="B51" s="8">
        <f>IF($A51="","",TEXT(Calcoli!$AB$6+($A51-1)*7,"dd/mm/yyyy")&amp;" - "&amp;TEXT(Calcoli!$AB$6+($A51-1)*7+4,"dd/mm/yyyy"))</f>
        <v/>
      </c>
      <c r="C51" s="13" t="n"/>
      <c r="D51" s="11" t="n"/>
      <c r="E51" s="14" t="n"/>
      <c r="F51" s="8">
        <f>IF($D51="","",IF(OR($D51="Licenza - settimana intera",$D51="Attività esterna - settimana intera"),"NO - non recuperabile","SI - settimana successiva"))</f>
        <v/>
      </c>
      <c r="G51" s="11" t="n"/>
    </row>
    <row r="52" ht="16" customHeight="1">
      <c r="A52" s="13" t="n"/>
      <c r="B52" s="8">
        <f>IF($A52="","",TEXT(Calcoli!$AB$6+($A52-1)*7,"dd/mm/yyyy")&amp;" - "&amp;TEXT(Calcoli!$AB$6+($A52-1)*7+4,"dd/mm/yyyy"))</f>
        <v/>
      </c>
      <c r="C52" s="13" t="n"/>
      <c r="D52" s="11" t="n"/>
      <c r="E52" s="14" t="n"/>
      <c r="F52" s="8">
        <f>IF($D52="","",IF(OR($D52="Licenza - settimana intera",$D52="Attività esterna - settimana intera"),"NO - non recuperabile","SI - settimana successiva"))</f>
        <v/>
      </c>
      <c r="G52" s="11" t="n"/>
    </row>
    <row r="53" ht="16" customHeight="1">
      <c r="A53" s="13" t="n"/>
      <c r="B53" s="8">
        <f>IF($A53="","",TEXT(Calcoli!$AB$6+($A53-1)*7,"dd/mm/yyyy")&amp;" - "&amp;TEXT(Calcoli!$AB$6+($A53-1)*7+4,"dd/mm/yyyy"))</f>
        <v/>
      </c>
      <c r="C53" s="13" t="n"/>
      <c r="D53" s="11" t="n"/>
      <c r="E53" s="14" t="n"/>
      <c r="F53" s="8">
        <f>IF($D53="","",IF(OR($D53="Licenza - settimana intera",$D53="Attività esterna - settimana intera"),"NO - non recuperabile","SI - settimana successiva"))</f>
        <v/>
      </c>
      <c r="G53" s="11" t="n"/>
    </row>
    <row r="54" ht="16" customHeight="1">
      <c r="A54" s="13" t="n"/>
      <c r="B54" s="8">
        <f>IF($A54="","",TEXT(Calcoli!$AB$6+($A54-1)*7,"dd/mm/yyyy")&amp;" - "&amp;TEXT(Calcoli!$AB$6+($A54-1)*7+4,"dd/mm/yyyy"))</f>
        <v/>
      </c>
      <c r="C54" s="13" t="n"/>
      <c r="D54" s="11" t="n"/>
      <c r="E54" s="14" t="n"/>
      <c r="F54" s="8">
        <f>IF($D54="","",IF(OR($D54="Licenza - settimana intera",$D54="Attività esterna - settimana intera"),"NO - non recuperabile","SI - settimana successiva"))</f>
        <v/>
      </c>
      <c r="G54" s="11" t="n"/>
    </row>
    <row r="55" ht="16" customHeight="1">
      <c r="A55" s="13" t="n"/>
      <c r="B55" s="8">
        <f>IF($A55="","",TEXT(Calcoli!$AB$6+($A55-1)*7,"dd/mm/yyyy")&amp;" - "&amp;TEXT(Calcoli!$AB$6+($A55-1)*7+4,"dd/mm/yyyy"))</f>
        <v/>
      </c>
      <c r="C55" s="13" t="n"/>
      <c r="D55" s="11" t="n"/>
      <c r="E55" s="14" t="n"/>
      <c r="F55" s="8">
        <f>IF($D55="","",IF(OR($D55="Licenza - settimana intera",$D55="Attività esterna - settimana intera"),"NO - non recuperabile","SI - settimana successiva"))</f>
        <v/>
      </c>
      <c r="G55" s="11" t="n"/>
    </row>
    <row r="56" ht="16" customHeight="1">
      <c r="A56" s="13" t="n"/>
      <c r="B56" s="8">
        <f>IF($A56="","",TEXT(Calcoli!$AB$6+($A56-1)*7,"dd/mm/yyyy")&amp;" - "&amp;TEXT(Calcoli!$AB$6+($A56-1)*7+4,"dd/mm/yyyy"))</f>
        <v/>
      </c>
      <c r="C56" s="13" t="n"/>
      <c r="D56" s="11" t="n"/>
      <c r="E56" s="14" t="n"/>
      <c r="F56" s="8">
        <f>IF($D56="","",IF(OR($D56="Licenza - settimana intera",$D56="Attività esterna - settimana intera"),"NO - non recuperabile","SI - settimana successiva"))</f>
        <v/>
      </c>
      <c r="G56" s="11" t="n"/>
    </row>
    <row r="57" ht="16" customHeight="1">
      <c r="A57" s="13" t="n"/>
      <c r="B57" s="8">
        <f>IF($A57="","",TEXT(Calcoli!$AB$6+($A57-1)*7,"dd/mm/yyyy")&amp;" - "&amp;TEXT(Calcoli!$AB$6+($A57-1)*7+4,"dd/mm/yyyy"))</f>
        <v/>
      </c>
      <c r="C57" s="13" t="n"/>
      <c r="D57" s="11" t="n"/>
      <c r="E57" s="14" t="n"/>
      <c r="F57" s="8">
        <f>IF($D57="","",IF(OR($D57="Licenza - settimana intera",$D57="Attività esterna - settimana intera"),"NO - non recuperabile","SI - settimana successiva"))</f>
        <v/>
      </c>
      <c r="G57" s="11" t="n"/>
    </row>
    <row r="58" ht="16" customHeight="1">
      <c r="A58" s="13" t="n"/>
      <c r="B58" s="8">
        <f>IF($A58="","",TEXT(Calcoli!$AB$6+($A58-1)*7,"dd/mm/yyyy")&amp;" - "&amp;TEXT(Calcoli!$AB$6+($A58-1)*7+4,"dd/mm/yyyy"))</f>
        <v/>
      </c>
      <c r="C58" s="13" t="n"/>
      <c r="D58" s="11" t="n"/>
      <c r="E58" s="14" t="n"/>
      <c r="F58" s="8">
        <f>IF($D58="","",IF(OR($D58="Licenza - settimana intera",$D58="Attività esterna - settimana intera"),"NO - non recuperabile","SI - settimana successiva"))</f>
        <v/>
      </c>
      <c r="G58" s="11" t="n"/>
    </row>
    <row r="59" ht="16" customHeight="1">
      <c r="A59" s="13" t="n"/>
      <c r="B59" s="8">
        <f>IF($A59="","",TEXT(Calcoli!$AB$6+($A59-1)*7,"dd/mm/yyyy")&amp;" - "&amp;TEXT(Calcoli!$AB$6+($A59-1)*7+4,"dd/mm/yyyy"))</f>
        <v/>
      </c>
      <c r="C59" s="13" t="n"/>
      <c r="D59" s="11" t="n"/>
      <c r="E59" s="14" t="n"/>
      <c r="F59" s="8">
        <f>IF($D59="","",IF(OR($D59="Licenza - settimana intera",$D59="Attività esterna - settimana intera"),"NO - non recuperabile","SI - settimana successiva"))</f>
        <v/>
      </c>
      <c r="G59" s="11" t="n"/>
    </row>
    <row r="60" ht="16" customHeight="1">
      <c r="A60" s="13" t="n"/>
      <c r="B60" s="8">
        <f>IF($A60="","",TEXT(Calcoli!$AB$6+($A60-1)*7,"dd/mm/yyyy")&amp;" - "&amp;TEXT(Calcoli!$AB$6+($A60-1)*7+4,"dd/mm/yyyy"))</f>
        <v/>
      </c>
      <c r="C60" s="13" t="n"/>
      <c r="D60" s="11" t="n"/>
      <c r="E60" s="14" t="n"/>
      <c r="F60" s="8">
        <f>IF($D60="","",IF(OR($D60="Licenza - settimana intera",$D60="Attività esterna - settimana intera"),"NO - non recuperabile","SI - settimana successiva"))</f>
        <v/>
      </c>
      <c r="G60" s="11" t="n"/>
    </row>
    <row r="61" ht="16" customHeight="1">
      <c r="A61" s="13" t="n"/>
      <c r="B61" s="8">
        <f>IF($A61="","",TEXT(Calcoli!$AB$6+($A61-1)*7,"dd/mm/yyyy")&amp;" - "&amp;TEXT(Calcoli!$AB$6+($A61-1)*7+4,"dd/mm/yyyy"))</f>
        <v/>
      </c>
      <c r="C61" s="13" t="n"/>
      <c r="D61" s="11" t="n"/>
      <c r="E61" s="14" t="n"/>
      <c r="F61" s="8">
        <f>IF($D61="","",IF(OR($D61="Licenza - settimana intera",$D61="Attività esterna - settimana intera"),"NO - non recuperabile","SI - settimana successiva"))</f>
        <v/>
      </c>
      <c r="G61" s="11" t="n"/>
    </row>
    <row r="62" ht="16" customHeight="1">
      <c r="A62" s="13" t="n"/>
      <c r="B62" s="8">
        <f>IF($A62="","",TEXT(Calcoli!$AB$6+($A62-1)*7,"dd/mm/yyyy")&amp;" - "&amp;TEXT(Calcoli!$AB$6+($A62-1)*7+4,"dd/mm/yyyy"))</f>
        <v/>
      </c>
      <c r="C62" s="13" t="n"/>
      <c r="D62" s="11" t="n"/>
      <c r="E62" s="14" t="n"/>
      <c r="F62" s="8">
        <f>IF($D62="","",IF(OR($D62="Licenza - settimana intera",$D62="Attività esterna - settimana intera"),"NO - non recuperabile","SI - settimana successiva"))</f>
        <v/>
      </c>
      <c r="G62" s="11" t="n"/>
    </row>
    <row r="63" ht="16" customHeight="1">
      <c r="A63" s="13" t="n"/>
      <c r="B63" s="8">
        <f>IF($A63="","",TEXT(Calcoli!$AB$6+($A63-1)*7,"dd/mm/yyyy")&amp;" - "&amp;TEXT(Calcoli!$AB$6+($A63-1)*7+4,"dd/mm/yyyy"))</f>
        <v/>
      </c>
      <c r="C63" s="13" t="n"/>
      <c r="D63" s="11" t="n"/>
      <c r="E63" s="14" t="n"/>
      <c r="F63" s="8">
        <f>IF($D63="","",IF(OR($D63="Licenza - settimana intera",$D63="Attività esterna - settimana intera"),"NO - non recuperabile","SI - settimana successiva"))</f>
        <v/>
      </c>
      <c r="G63" s="11" t="n"/>
    </row>
    <row r="64" ht="16" customHeight="1">
      <c r="A64" s="13" t="n"/>
      <c r="B64" s="8">
        <f>IF($A64="","",TEXT(Calcoli!$AB$6+($A64-1)*7,"dd/mm/yyyy")&amp;" - "&amp;TEXT(Calcoli!$AB$6+($A64-1)*7+4,"dd/mm/yyyy"))</f>
        <v/>
      </c>
      <c r="C64" s="13" t="n"/>
      <c r="D64" s="11" t="n"/>
      <c r="E64" s="14" t="n"/>
      <c r="F64" s="8">
        <f>IF($D64="","",IF(OR($D64="Licenza - settimana intera",$D64="Attività esterna - settimana intera"),"NO - non recuperabile","SI - settimana successiva"))</f>
        <v/>
      </c>
      <c r="G64" s="11" t="n"/>
    </row>
    <row r="65" ht="16" customHeight="1">
      <c r="A65" s="13" t="n"/>
      <c r="B65" s="8">
        <f>IF($A65="","",TEXT(Calcoli!$AB$6+($A65-1)*7,"dd/mm/yyyy")&amp;" - "&amp;TEXT(Calcoli!$AB$6+($A65-1)*7+4,"dd/mm/yyyy"))</f>
        <v/>
      </c>
      <c r="C65" s="13" t="n"/>
      <c r="D65" s="11" t="n"/>
      <c r="E65" s="14" t="n"/>
      <c r="F65" s="8">
        <f>IF($D65="","",IF(OR($D65="Licenza - settimana intera",$D65="Attività esterna - settimana intera"),"NO - non recuperabile","SI - settimana successiva"))</f>
        <v/>
      </c>
      <c r="G65" s="11" t="n"/>
    </row>
    <row r="66" ht="16" customHeight="1">
      <c r="A66" s="13" t="n"/>
      <c r="B66" s="8">
        <f>IF($A66="","",TEXT(Calcoli!$AB$6+($A66-1)*7,"dd/mm/yyyy")&amp;" - "&amp;TEXT(Calcoli!$AB$6+($A66-1)*7+4,"dd/mm/yyyy"))</f>
        <v/>
      </c>
      <c r="C66" s="13" t="n"/>
      <c r="D66" s="11" t="n"/>
      <c r="E66" s="14" t="n"/>
      <c r="F66" s="8">
        <f>IF($D66="","",IF(OR($D66="Licenza - settimana intera",$D66="Attività esterna - settimana intera"),"NO - non recuperabile","SI - settimana successiva"))</f>
        <v/>
      </c>
      <c r="G66" s="11" t="n"/>
    </row>
    <row r="67" ht="16" customHeight="1">
      <c r="A67" s="13" t="n"/>
      <c r="B67" s="8">
        <f>IF($A67="","",TEXT(Calcoli!$AB$6+($A67-1)*7,"dd/mm/yyyy")&amp;" - "&amp;TEXT(Calcoli!$AB$6+($A67-1)*7+4,"dd/mm/yyyy"))</f>
        <v/>
      </c>
      <c r="C67" s="13" t="n"/>
      <c r="D67" s="11" t="n"/>
      <c r="E67" s="14" t="n"/>
      <c r="F67" s="8">
        <f>IF($D67="","",IF(OR($D67="Licenza - settimana intera",$D67="Attività esterna - settimana intera"),"NO - non recuperabile","SI - settimana successiva"))</f>
        <v/>
      </c>
      <c r="G67" s="11" t="n"/>
    </row>
    <row r="68" ht="16" customHeight="1">
      <c r="A68" s="13" t="n"/>
      <c r="B68" s="8">
        <f>IF($A68="","",TEXT(Calcoli!$AB$6+($A68-1)*7,"dd/mm/yyyy")&amp;" - "&amp;TEXT(Calcoli!$AB$6+($A68-1)*7+4,"dd/mm/yyyy"))</f>
        <v/>
      </c>
      <c r="C68" s="13" t="n"/>
      <c r="D68" s="11" t="n"/>
      <c r="E68" s="14" t="n"/>
      <c r="F68" s="8">
        <f>IF($D68="","",IF(OR($D68="Licenza - settimana intera",$D68="Attività esterna - settimana intera"),"NO - non recuperabile","SI - settimana successiva"))</f>
        <v/>
      </c>
      <c r="G68" s="11" t="n"/>
    </row>
    <row r="69" ht="16" customHeight="1">
      <c r="A69" s="13" t="n"/>
      <c r="B69" s="8">
        <f>IF($A69="","",TEXT(Calcoli!$AB$6+($A69-1)*7,"dd/mm/yyyy")&amp;" - "&amp;TEXT(Calcoli!$AB$6+($A69-1)*7+4,"dd/mm/yyyy"))</f>
        <v/>
      </c>
      <c r="C69" s="13" t="n"/>
      <c r="D69" s="11" t="n"/>
      <c r="E69" s="14" t="n"/>
      <c r="F69" s="8">
        <f>IF($D69="","",IF(OR($D69="Licenza - settimana intera",$D69="Attività esterna - settimana intera"),"NO - non recuperabile","SI - settimana successiva"))</f>
        <v/>
      </c>
      <c r="G69" s="11" t="n"/>
    </row>
    <row r="70" ht="16" customHeight="1">
      <c r="A70" s="13" t="n"/>
      <c r="B70" s="8">
        <f>IF($A70="","",TEXT(Calcoli!$AB$6+($A70-1)*7,"dd/mm/yyyy")&amp;" - "&amp;TEXT(Calcoli!$AB$6+($A70-1)*7+4,"dd/mm/yyyy"))</f>
        <v/>
      </c>
      <c r="C70" s="13" t="n"/>
      <c r="D70" s="11" t="n"/>
      <c r="E70" s="14" t="n"/>
      <c r="F70" s="8">
        <f>IF($D70="","",IF(OR($D70="Licenza - settimana intera",$D70="Attività esterna - settimana intera"),"NO - non recuperabile","SI - settimana successiva"))</f>
        <v/>
      </c>
      <c r="G70" s="11" t="n"/>
    </row>
    <row r="71" ht="16" customHeight="1">
      <c r="A71" s="13" t="n"/>
      <c r="B71" s="8">
        <f>IF($A71="","",TEXT(Calcoli!$AB$6+($A71-1)*7,"dd/mm/yyyy")&amp;" - "&amp;TEXT(Calcoli!$AB$6+($A71-1)*7+4,"dd/mm/yyyy"))</f>
        <v/>
      </c>
      <c r="C71" s="13" t="n"/>
      <c r="D71" s="11" t="n"/>
      <c r="E71" s="14" t="n"/>
      <c r="F71" s="8">
        <f>IF($D71="","",IF(OR($D71="Licenza - settimana intera",$D71="Attività esterna - settimana intera"),"NO - non recuperabile","SI - settimana successiva"))</f>
        <v/>
      </c>
      <c r="G71" s="11" t="n"/>
    </row>
    <row r="72" ht="16" customHeight="1">
      <c r="A72" s="13" t="n"/>
      <c r="B72" s="8">
        <f>IF($A72="","",TEXT(Calcoli!$AB$6+($A72-1)*7,"dd/mm/yyyy")&amp;" - "&amp;TEXT(Calcoli!$AB$6+($A72-1)*7+4,"dd/mm/yyyy"))</f>
        <v/>
      </c>
      <c r="C72" s="13" t="n"/>
      <c r="D72" s="11" t="n"/>
      <c r="E72" s="14" t="n"/>
      <c r="F72" s="8">
        <f>IF($D72="","",IF(OR($D72="Licenza - settimana intera",$D72="Attività esterna - settimana intera"),"NO - non recuperabile","SI - settimana successiva"))</f>
        <v/>
      </c>
      <c r="G72" s="11" t="n"/>
    </row>
    <row r="73" ht="16" customHeight="1">
      <c r="A73" s="13" t="n"/>
      <c r="B73" s="8">
        <f>IF($A73="","",TEXT(Calcoli!$AB$6+($A73-1)*7,"dd/mm/yyyy")&amp;" - "&amp;TEXT(Calcoli!$AB$6+($A73-1)*7+4,"dd/mm/yyyy"))</f>
        <v/>
      </c>
      <c r="C73" s="13" t="n"/>
      <c r="D73" s="11" t="n"/>
      <c r="E73" s="14" t="n"/>
      <c r="F73" s="8">
        <f>IF($D73="","",IF(OR($D73="Licenza - settimana intera",$D73="Attività esterna - settimana intera"),"NO - non recuperabile","SI - settimana successiva"))</f>
        <v/>
      </c>
      <c r="G73" s="11" t="n"/>
    </row>
    <row r="74" ht="16" customHeight="1">
      <c r="A74" s="13" t="n"/>
      <c r="B74" s="8">
        <f>IF($A74="","",TEXT(Calcoli!$AB$6+($A74-1)*7,"dd/mm/yyyy")&amp;" - "&amp;TEXT(Calcoli!$AB$6+($A74-1)*7+4,"dd/mm/yyyy"))</f>
        <v/>
      </c>
      <c r="C74" s="13" t="n"/>
      <c r="D74" s="11" t="n"/>
      <c r="E74" s="14" t="n"/>
      <c r="F74" s="8">
        <f>IF($D74="","",IF(OR($D74="Licenza - settimana intera",$D74="Attività esterna - settimana intera"),"NO - non recuperabile","SI - settimana successiva"))</f>
        <v/>
      </c>
      <c r="G74" s="11" t="n"/>
    </row>
    <row r="75" ht="16" customHeight="1">
      <c r="A75" s="13" t="n"/>
      <c r="B75" s="8">
        <f>IF($A75="","",TEXT(Calcoli!$AB$6+($A75-1)*7,"dd/mm/yyyy")&amp;" - "&amp;TEXT(Calcoli!$AB$6+($A75-1)*7+4,"dd/mm/yyyy"))</f>
        <v/>
      </c>
      <c r="C75" s="13" t="n"/>
      <c r="D75" s="11" t="n"/>
      <c r="E75" s="14" t="n"/>
      <c r="F75" s="8">
        <f>IF($D75="","",IF(OR($D75="Licenza - settimana intera",$D75="Attività esterna - settimana intera"),"NO - non recuperabile","SI - settimana successiva"))</f>
        <v/>
      </c>
      <c r="G75" s="11" t="n"/>
    </row>
    <row r="76" ht="16" customHeight="1">
      <c r="A76" s="13" t="n"/>
      <c r="B76" s="8">
        <f>IF($A76="","",TEXT(Calcoli!$AB$6+($A76-1)*7,"dd/mm/yyyy")&amp;" - "&amp;TEXT(Calcoli!$AB$6+($A76-1)*7+4,"dd/mm/yyyy"))</f>
        <v/>
      </c>
      <c r="C76" s="13" t="n"/>
      <c r="D76" s="11" t="n"/>
      <c r="E76" s="14" t="n"/>
      <c r="F76" s="8">
        <f>IF($D76="","",IF(OR($D76="Licenza - settimana intera",$D76="Attività esterna - settimana intera"),"NO - non recuperabile","SI - settimana successiva"))</f>
        <v/>
      </c>
      <c r="G76" s="11" t="n"/>
    </row>
    <row r="77" ht="16" customHeight="1">
      <c r="A77" s="13" t="n"/>
      <c r="B77" s="8">
        <f>IF($A77="","",TEXT(Calcoli!$AB$6+($A77-1)*7,"dd/mm/yyyy")&amp;" - "&amp;TEXT(Calcoli!$AB$6+($A77-1)*7+4,"dd/mm/yyyy"))</f>
        <v/>
      </c>
      <c r="C77" s="13" t="n"/>
      <c r="D77" s="11" t="n"/>
      <c r="E77" s="14" t="n"/>
      <c r="F77" s="8">
        <f>IF($D77="","",IF(OR($D77="Licenza - settimana intera",$D77="Attività esterna - settimana intera"),"NO - non recuperabile","SI - settimana successiva"))</f>
        <v/>
      </c>
      <c r="G77" s="11" t="n"/>
    </row>
    <row r="78" ht="16" customHeight="1">
      <c r="A78" s="13" t="n"/>
      <c r="B78" s="8">
        <f>IF($A78="","",TEXT(Calcoli!$AB$6+($A78-1)*7,"dd/mm/yyyy")&amp;" - "&amp;TEXT(Calcoli!$AB$6+($A78-1)*7+4,"dd/mm/yyyy"))</f>
        <v/>
      </c>
      <c r="C78" s="13" t="n"/>
      <c r="D78" s="11" t="n"/>
      <c r="E78" s="14" t="n"/>
      <c r="F78" s="8">
        <f>IF($D78="","",IF(OR($D78="Licenza - settimana intera",$D78="Attività esterna - settimana intera"),"NO - non recuperabile","SI - settimana successiva"))</f>
        <v/>
      </c>
      <c r="G78" s="11" t="n"/>
    </row>
    <row r="79" ht="16" customHeight="1">
      <c r="A79" s="13" t="n"/>
      <c r="B79" s="8">
        <f>IF($A79="","",TEXT(Calcoli!$AB$6+($A79-1)*7,"dd/mm/yyyy")&amp;" - "&amp;TEXT(Calcoli!$AB$6+($A79-1)*7+4,"dd/mm/yyyy"))</f>
        <v/>
      </c>
      <c r="C79" s="13" t="n"/>
      <c r="D79" s="11" t="n"/>
      <c r="E79" s="14" t="n"/>
      <c r="F79" s="8">
        <f>IF($D79="","",IF(OR($D79="Licenza - settimana intera",$D79="Attività esterna - settimana intera"),"NO - non recuperabile","SI - settimana successiva"))</f>
        <v/>
      </c>
      <c r="G79" s="11" t="n"/>
    </row>
    <row r="80" ht="16" customHeight="1">
      <c r="A80" s="13" t="n"/>
      <c r="B80" s="8">
        <f>IF($A80="","",TEXT(Calcoli!$AB$6+($A80-1)*7,"dd/mm/yyyy")&amp;" - "&amp;TEXT(Calcoli!$AB$6+($A80-1)*7+4,"dd/mm/yyyy"))</f>
        <v/>
      </c>
      <c r="C80" s="13" t="n"/>
      <c r="D80" s="11" t="n"/>
      <c r="E80" s="14" t="n"/>
      <c r="F80" s="8">
        <f>IF($D80="","",IF(OR($D80="Licenza - settimana intera",$D80="Attività esterna - settimana intera"),"NO - non recuperabile","SI - settimana successiva"))</f>
        <v/>
      </c>
      <c r="G80" s="11" t="n"/>
    </row>
    <row r="81" ht="16" customHeight="1">
      <c r="A81" s="13" t="n"/>
      <c r="B81" s="8">
        <f>IF($A81="","",TEXT(Calcoli!$AB$6+($A81-1)*7,"dd/mm/yyyy")&amp;" - "&amp;TEXT(Calcoli!$AB$6+($A81-1)*7+4,"dd/mm/yyyy"))</f>
        <v/>
      </c>
      <c r="C81" s="13" t="n"/>
      <c r="D81" s="11" t="n"/>
      <c r="E81" s="14" t="n"/>
      <c r="F81" s="8">
        <f>IF($D81="","",IF(OR($D81="Licenza - settimana intera",$D81="Attività esterna - settimana intera"),"NO - non recuperabile","SI - settimana successiva"))</f>
        <v/>
      </c>
      <c r="G81" s="11" t="n"/>
    </row>
    <row r="82" ht="16" customHeight="1">
      <c r="A82" s="13" t="n"/>
      <c r="B82" s="8">
        <f>IF($A82="","",TEXT(Calcoli!$AB$6+($A82-1)*7,"dd/mm/yyyy")&amp;" - "&amp;TEXT(Calcoli!$AB$6+($A82-1)*7+4,"dd/mm/yyyy"))</f>
        <v/>
      </c>
      <c r="C82" s="13" t="n"/>
      <c r="D82" s="11" t="n"/>
      <c r="E82" s="14" t="n"/>
      <c r="F82" s="8">
        <f>IF($D82="","",IF(OR($D82="Licenza - settimana intera",$D82="Attività esterna - settimana intera"),"NO - non recuperabile","SI - settimana successiva"))</f>
        <v/>
      </c>
      <c r="G82" s="11" t="n"/>
    </row>
    <row r="83" ht="16" customHeight="1">
      <c r="A83" s="13" t="n"/>
      <c r="B83" s="8">
        <f>IF($A83="","",TEXT(Calcoli!$AB$6+($A83-1)*7,"dd/mm/yyyy")&amp;" - "&amp;TEXT(Calcoli!$AB$6+($A83-1)*7+4,"dd/mm/yyyy"))</f>
        <v/>
      </c>
      <c r="C83" s="13" t="n"/>
      <c r="D83" s="11" t="n"/>
      <c r="E83" s="14" t="n"/>
      <c r="F83" s="8">
        <f>IF($D83="","",IF(OR($D83="Licenza - settimana intera",$D83="Attività esterna - settimana intera"),"NO - non recuperabile","SI - settimana successiva"))</f>
        <v/>
      </c>
      <c r="G83" s="11" t="n"/>
    </row>
    <row r="84" ht="16" customHeight="1">
      <c r="A84" s="13" t="n"/>
      <c r="B84" s="8">
        <f>IF($A84="","",TEXT(Calcoli!$AB$6+($A84-1)*7,"dd/mm/yyyy")&amp;" - "&amp;TEXT(Calcoli!$AB$6+($A84-1)*7+4,"dd/mm/yyyy"))</f>
        <v/>
      </c>
      <c r="C84" s="13" t="n"/>
      <c r="D84" s="11" t="n"/>
      <c r="E84" s="14" t="n"/>
      <c r="F84" s="8">
        <f>IF($D84="","",IF(OR($D84="Licenza - settimana intera",$D84="Attività esterna - settimana intera"),"NO - non recuperabile","SI - settimana successiva"))</f>
        <v/>
      </c>
      <c r="G84" s="11" t="n"/>
    </row>
    <row r="85" ht="16" customHeight="1">
      <c r="A85" s="13" t="n"/>
      <c r="B85" s="8">
        <f>IF($A85="","",TEXT(Calcoli!$AB$6+($A85-1)*7,"dd/mm/yyyy")&amp;" - "&amp;TEXT(Calcoli!$AB$6+($A85-1)*7+4,"dd/mm/yyyy"))</f>
        <v/>
      </c>
      <c r="C85" s="13" t="n"/>
      <c r="D85" s="11" t="n"/>
      <c r="E85" s="14" t="n"/>
      <c r="F85" s="8">
        <f>IF($D85="","",IF(OR($D85="Licenza - settimana intera",$D85="Attività esterna - settimana intera"),"NO - non recuperabile","SI - settimana successiva"))</f>
        <v/>
      </c>
      <c r="G85" s="11" t="n"/>
    </row>
    <row r="86" ht="16" customHeight="1">
      <c r="A86" s="13" t="n"/>
      <c r="B86" s="8">
        <f>IF($A86="","",TEXT(Calcoli!$AB$6+($A86-1)*7,"dd/mm/yyyy")&amp;" - "&amp;TEXT(Calcoli!$AB$6+($A86-1)*7+4,"dd/mm/yyyy"))</f>
        <v/>
      </c>
      <c r="C86" s="13" t="n"/>
      <c r="D86" s="11" t="n"/>
      <c r="E86" s="14" t="n"/>
      <c r="F86" s="8">
        <f>IF($D86="","",IF(OR($D86="Licenza - settimana intera",$D86="Attività esterna - settimana intera"),"NO - non recuperabile","SI - settimana successiva"))</f>
        <v/>
      </c>
      <c r="G86" s="11" t="n"/>
    </row>
    <row r="87" ht="16" customHeight="1">
      <c r="A87" s="13" t="n"/>
      <c r="B87" s="8">
        <f>IF($A87="","",TEXT(Calcoli!$AB$6+($A87-1)*7,"dd/mm/yyyy")&amp;" - "&amp;TEXT(Calcoli!$AB$6+($A87-1)*7+4,"dd/mm/yyyy"))</f>
        <v/>
      </c>
      <c r="C87" s="13" t="n"/>
      <c r="D87" s="11" t="n"/>
      <c r="E87" s="14" t="n"/>
      <c r="F87" s="8">
        <f>IF($D87="","",IF(OR($D87="Licenza - settimana intera",$D87="Attività esterna - settimana intera"),"NO - non recuperabile","SI - settimana successiva"))</f>
        <v/>
      </c>
      <c r="G87" s="11" t="n"/>
    </row>
    <row r="88" ht="16" customHeight="1">
      <c r="A88" s="13" t="n"/>
      <c r="B88" s="8">
        <f>IF($A88="","",TEXT(Calcoli!$AB$6+($A88-1)*7,"dd/mm/yyyy")&amp;" - "&amp;TEXT(Calcoli!$AB$6+($A88-1)*7+4,"dd/mm/yyyy"))</f>
        <v/>
      </c>
      <c r="C88" s="13" t="n"/>
      <c r="D88" s="11" t="n"/>
      <c r="E88" s="14" t="n"/>
      <c r="F88" s="8">
        <f>IF($D88="","",IF(OR($D88="Licenza - settimana intera",$D88="Attività esterna - settimana intera"),"NO - non recuperabile","SI - settimana successiva"))</f>
        <v/>
      </c>
      <c r="G88" s="11" t="n"/>
    </row>
    <row r="89" ht="16" customHeight="1">
      <c r="A89" s="13" t="n"/>
      <c r="B89" s="8">
        <f>IF($A89="","",TEXT(Calcoli!$AB$6+($A89-1)*7,"dd/mm/yyyy")&amp;" - "&amp;TEXT(Calcoli!$AB$6+($A89-1)*7+4,"dd/mm/yyyy"))</f>
        <v/>
      </c>
      <c r="C89" s="13" t="n"/>
      <c r="D89" s="11" t="n"/>
      <c r="E89" s="14" t="n"/>
      <c r="F89" s="8">
        <f>IF($D89="","",IF(OR($D89="Licenza - settimana intera",$D89="Attività esterna - settimana intera"),"NO - non recuperabile","SI - settimana successiva"))</f>
        <v/>
      </c>
      <c r="G89" s="11" t="n"/>
    </row>
    <row r="90" ht="16" customHeight="1">
      <c r="A90" s="13" t="n"/>
      <c r="B90" s="8">
        <f>IF($A90="","",TEXT(Calcoli!$AB$6+($A90-1)*7,"dd/mm/yyyy")&amp;" - "&amp;TEXT(Calcoli!$AB$6+($A90-1)*7+4,"dd/mm/yyyy"))</f>
        <v/>
      </c>
      <c r="C90" s="13" t="n"/>
      <c r="D90" s="11" t="n"/>
      <c r="E90" s="14" t="n"/>
      <c r="F90" s="8">
        <f>IF($D90="","",IF(OR($D90="Licenza - settimana intera",$D90="Attività esterna - settimana intera"),"NO - non recuperabile","SI - settimana successiva"))</f>
        <v/>
      </c>
      <c r="G90" s="11" t="n"/>
    </row>
    <row r="91" ht="16" customHeight="1">
      <c r="A91" s="13" t="n"/>
      <c r="B91" s="8">
        <f>IF($A91="","",TEXT(Calcoli!$AB$6+($A91-1)*7,"dd/mm/yyyy")&amp;" - "&amp;TEXT(Calcoli!$AB$6+($A91-1)*7+4,"dd/mm/yyyy"))</f>
        <v/>
      </c>
      <c r="C91" s="13" t="n"/>
      <c r="D91" s="11" t="n"/>
      <c r="E91" s="14" t="n"/>
      <c r="F91" s="8">
        <f>IF($D91="","",IF(OR($D91="Licenza - settimana intera",$D91="Attività esterna - settimana intera"),"NO - non recuperabile","SI - settimana successiva"))</f>
        <v/>
      </c>
      <c r="G91" s="11" t="n"/>
    </row>
    <row r="92" ht="16" customHeight="1">
      <c r="A92" s="13" t="n"/>
      <c r="B92" s="8">
        <f>IF($A92="","",TEXT(Calcoli!$AB$6+($A92-1)*7,"dd/mm/yyyy")&amp;" - "&amp;TEXT(Calcoli!$AB$6+($A92-1)*7+4,"dd/mm/yyyy"))</f>
        <v/>
      </c>
      <c r="C92" s="13" t="n"/>
      <c r="D92" s="11" t="n"/>
      <c r="E92" s="14" t="n"/>
      <c r="F92" s="8">
        <f>IF($D92="","",IF(OR($D92="Licenza - settimana intera",$D92="Attività esterna - settimana intera"),"NO - non recuperabile","SI - settimana successiva"))</f>
        <v/>
      </c>
      <c r="G92" s="11" t="n"/>
    </row>
    <row r="93" ht="16" customHeight="1">
      <c r="A93" s="13" t="n"/>
      <c r="B93" s="8">
        <f>IF($A93="","",TEXT(Calcoli!$AB$6+($A93-1)*7,"dd/mm/yyyy")&amp;" - "&amp;TEXT(Calcoli!$AB$6+($A93-1)*7+4,"dd/mm/yyyy"))</f>
        <v/>
      </c>
      <c r="C93" s="13" t="n"/>
      <c r="D93" s="11" t="n"/>
      <c r="E93" s="14" t="n"/>
      <c r="F93" s="8">
        <f>IF($D93="","",IF(OR($D93="Licenza - settimana intera",$D93="Attività esterna - settimana intera"),"NO - non recuperabile","SI - settimana successiva"))</f>
        <v/>
      </c>
      <c r="G93" s="11" t="n"/>
    </row>
    <row r="94" ht="16" customHeight="1">
      <c r="A94" s="13" t="n"/>
      <c r="B94" s="8">
        <f>IF($A94="","",TEXT(Calcoli!$AB$6+($A94-1)*7,"dd/mm/yyyy")&amp;" - "&amp;TEXT(Calcoli!$AB$6+($A94-1)*7+4,"dd/mm/yyyy"))</f>
        <v/>
      </c>
      <c r="C94" s="13" t="n"/>
      <c r="D94" s="11" t="n"/>
      <c r="E94" s="14" t="n"/>
      <c r="F94" s="8">
        <f>IF($D94="","",IF(OR($D94="Licenza - settimana intera",$D94="Attività esterna - settimana intera"),"NO - non recuperabile","SI - settimana successiva"))</f>
        <v/>
      </c>
      <c r="G94" s="11" t="n"/>
    </row>
    <row r="95" ht="16" customHeight="1">
      <c r="A95" s="13" t="n"/>
      <c r="B95" s="8">
        <f>IF($A95="","",TEXT(Calcoli!$AB$6+($A95-1)*7,"dd/mm/yyyy")&amp;" - "&amp;TEXT(Calcoli!$AB$6+($A95-1)*7+4,"dd/mm/yyyy"))</f>
        <v/>
      </c>
      <c r="C95" s="13" t="n"/>
      <c r="D95" s="11" t="n"/>
      <c r="E95" s="14" t="n"/>
      <c r="F95" s="8">
        <f>IF($D95="","",IF(OR($D95="Licenza - settimana intera",$D95="Attività esterna - settimana intera"),"NO - non recuperabile","SI - settimana successiva"))</f>
        <v/>
      </c>
      <c r="G95" s="11" t="n"/>
    </row>
    <row r="96" ht="16" customHeight="1">
      <c r="A96" s="13" t="n"/>
      <c r="B96" s="8">
        <f>IF($A96="","",TEXT(Calcoli!$AB$6+($A96-1)*7,"dd/mm/yyyy")&amp;" - "&amp;TEXT(Calcoli!$AB$6+($A96-1)*7+4,"dd/mm/yyyy"))</f>
        <v/>
      </c>
      <c r="C96" s="13" t="n"/>
      <c r="D96" s="11" t="n"/>
      <c r="E96" s="14" t="n"/>
      <c r="F96" s="8">
        <f>IF($D96="","",IF(OR($D96="Licenza - settimana intera",$D96="Attività esterna - settimana intera"),"NO - non recuperabile","SI - settimana successiva"))</f>
        <v/>
      </c>
      <c r="G96" s="11" t="n"/>
    </row>
    <row r="97" ht="16" customHeight="1">
      <c r="A97" s="13" t="n"/>
      <c r="B97" s="8">
        <f>IF($A97="","",TEXT(Calcoli!$AB$6+($A97-1)*7,"dd/mm/yyyy")&amp;" - "&amp;TEXT(Calcoli!$AB$6+($A97-1)*7+4,"dd/mm/yyyy"))</f>
        <v/>
      </c>
      <c r="C97" s="13" t="n"/>
      <c r="D97" s="11" t="n"/>
      <c r="E97" s="14" t="n"/>
      <c r="F97" s="8">
        <f>IF($D97="","",IF(OR($D97="Licenza - settimana intera",$D97="Attività esterna - settimana intera"),"NO - non recuperabile","SI - settimana successiva"))</f>
        <v/>
      </c>
      <c r="G97" s="11" t="n"/>
    </row>
    <row r="98" ht="16" customHeight="1">
      <c r="A98" s="13" t="n"/>
      <c r="B98" s="8">
        <f>IF($A98="","",TEXT(Calcoli!$AB$6+($A98-1)*7,"dd/mm/yyyy")&amp;" - "&amp;TEXT(Calcoli!$AB$6+($A98-1)*7+4,"dd/mm/yyyy"))</f>
        <v/>
      </c>
      <c r="C98" s="13" t="n"/>
      <c r="D98" s="11" t="n"/>
      <c r="E98" s="14" t="n"/>
      <c r="F98" s="8">
        <f>IF($D98="","",IF(OR($D98="Licenza - settimana intera",$D98="Attività esterna - settimana intera"),"NO - non recuperabile","SI - settimana successiva"))</f>
        <v/>
      </c>
      <c r="G98" s="11" t="n"/>
    </row>
    <row r="99" ht="16" customHeight="1">
      <c r="A99" s="13" t="n"/>
      <c r="B99" s="8">
        <f>IF($A99="","",TEXT(Calcoli!$AB$6+($A99-1)*7,"dd/mm/yyyy")&amp;" - "&amp;TEXT(Calcoli!$AB$6+($A99-1)*7+4,"dd/mm/yyyy"))</f>
        <v/>
      </c>
      <c r="C99" s="13" t="n"/>
      <c r="D99" s="11" t="n"/>
      <c r="E99" s="14" t="n"/>
      <c r="F99" s="8">
        <f>IF($D99="","",IF(OR($D99="Licenza - settimana intera",$D99="Attività esterna - settimana intera"),"NO - non recuperabile","SI - settimana successiva"))</f>
        <v/>
      </c>
      <c r="G99" s="11" t="n"/>
    </row>
    <row r="100" ht="16" customHeight="1">
      <c r="A100" s="13" t="n"/>
      <c r="B100" s="8">
        <f>IF($A100="","",TEXT(Calcoli!$AB$6+($A100-1)*7,"dd/mm/yyyy")&amp;" - "&amp;TEXT(Calcoli!$AB$6+($A100-1)*7+4,"dd/mm/yyyy"))</f>
        <v/>
      </c>
      <c r="C100" s="13" t="n"/>
      <c r="D100" s="11" t="n"/>
      <c r="E100" s="14" t="n"/>
      <c r="F100" s="8">
        <f>IF($D100="","",IF(OR($D100="Licenza - settimana intera",$D100="Attività esterna - settimana intera"),"NO - non recuperabile","SI - settimana successiva"))</f>
        <v/>
      </c>
      <c r="G100" s="11" t="n"/>
    </row>
    <row r="101" ht="16" customHeight="1">
      <c r="A101" s="13" t="n"/>
      <c r="B101" s="8">
        <f>IF($A101="","",TEXT(Calcoli!$AB$6+($A101-1)*7,"dd/mm/yyyy")&amp;" - "&amp;TEXT(Calcoli!$AB$6+($A101-1)*7+4,"dd/mm/yyyy"))</f>
        <v/>
      </c>
      <c r="C101" s="13" t="n"/>
      <c r="D101" s="11" t="n"/>
      <c r="E101" s="14" t="n"/>
      <c r="F101" s="8">
        <f>IF($D101="","",IF(OR($D101="Licenza - settimana intera",$D101="Attività esterna - settimana intera"),"NO - non recuperabile","SI - settimana successiva"))</f>
        <v/>
      </c>
      <c r="G101" s="11" t="n"/>
    </row>
    <row r="102" ht="16" customHeight="1">
      <c r="A102" s="13" t="n"/>
      <c r="B102" s="8">
        <f>IF($A102="","",TEXT(Calcoli!$AB$6+($A102-1)*7,"dd/mm/yyyy")&amp;" - "&amp;TEXT(Calcoli!$AB$6+($A102-1)*7+4,"dd/mm/yyyy"))</f>
        <v/>
      </c>
      <c r="C102" s="13" t="n"/>
      <c r="D102" s="11" t="n"/>
      <c r="E102" s="14" t="n"/>
      <c r="F102" s="8">
        <f>IF($D102="","",IF(OR($D102="Licenza - settimana intera",$D102="Attività esterna - settimana intera"),"NO - non recuperabile","SI - settimana successiva"))</f>
        <v/>
      </c>
      <c r="G102" s="11" t="n"/>
    </row>
    <row r="103" ht="16" customHeight="1">
      <c r="A103" s="13" t="n"/>
      <c r="B103" s="8">
        <f>IF($A103="","",TEXT(Calcoli!$AB$6+($A103-1)*7,"dd/mm/yyyy")&amp;" - "&amp;TEXT(Calcoli!$AB$6+($A103-1)*7+4,"dd/mm/yyyy"))</f>
        <v/>
      </c>
      <c r="C103" s="13" t="n"/>
      <c r="D103" s="11" t="n"/>
      <c r="E103" s="14" t="n"/>
      <c r="F103" s="8">
        <f>IF($D103="","",IF(OR($D103="Licenza - settimana intera",$D103="Attività esterna - settimana intera"),"NO - non recuperabile","SI - settimana successiva"))</f>
        <v/>
      </c>
      <c r="G103" s="11" t="n"/>
    </row>
    <row r="104" ht="16" customHeight="1">
      <c r="A104" s="13" t="n"/>
      <c r="B104" s="8">
        <f>IF($A104="","",TEXT(Calcoli!$AB$6+($A104-1)*7,"dd/mm/yyyy")&amp;" - "&amp;TEXT(Calcoli!$AB$6+($A104-1)*7+4,"dd/mm/yyyy"))</f>
        <v/>
      </c>
      <c r="C104" s="13" t="n"/>
      <c r="D104" s="11" t="n"/>
      <c r="E104" s="14" t="n"/>
      <c r="F104" s="8">
        <f>IF($D104="","",IF(OR($D104="Licenza - settimana intera",$D104="Attività esterna - settimana intera"),"NO - non recuperabile","SI - settimana successiva"))</f>
        <v/>
      </c>
      <c r="G104" s="11" t="n"/>
    </row>
    <row r="105" ht="16" customHeight="1">
      <c r="A105" s="13" t="n"/>
      <c r="B105" s="8">
        <f>IF($A105="","",TEXT(Calcoli!$AB$6+($A105-1)*7,"dd/mm/yyyy")&amp;" - "&amp;TEXT(Calcoli!$AB$6+($A105-1)*7+4,"dd/mm/yyyy"))</f>
        <v/>
      </c>
      <c r="C105" s="13" t="n"/>
      <c r="D105" s="11" t="n"/>
      <c r="E105" s="14" t="n"/>
      <c r="F105" s="8">
        <f>IF($D105="","",IF(OR($D105="Licenza - settimana intera",$D105="Attività esterna - settimana intera"),"NO - non recuperabile","SI - settimana successiva"))</f>
        <v/>
      </c>
      <c r="G105" s="11" t="n"/>
    </row>
    <row r="106" ht="16" customHeight="1">
      <c r="A106" s="13" t="n"/>
      <c r="B106" s="8">
        <f>IF($A106="","",TEXT(Calcoli!$AB$6+($A106-1)*7,"dd/mm/yyyy")&amp;" - "&amp;TEXT(Calcoli!$AB$6+($A106-1)*7+4,"dd/mm/yyyy"))</f>
        <v/>
      </c>
      <c r="C106" s="13" t="n"/>
      <c r="D106" s="11" t="n"/>
      <c r="E106" s="14" t="n"/>
      <c r="F106" s="8">
        <f>IF($D106="","",IF(OR($D106="Licenza - settimana intera",$D106="Attività esterna - settimana intera"),"NO - non recuperabile","SI - settimana successiva"))</f>
        <v/>
      </c>
      <c r="G106" s="11" t="n"/>
    </row>
    <row r="107" ht="16" customHeight="1">
      <c r="A107" s="13" t="n"/>
      <c r="B107" s="8">
        <f>IF($A107="","",TEXT(Calcoli!$AB$6+($A107-1)*7,"dd/mm/yyyy")&amp;" - "&amp;TEXT(Calcoli!$AB$6+($A107-1)*7+4,"dd/mm/yyyy"))</f>
        <v/>
      </c>
      <c r="C107" s="13" t="n"/>
      <c r="D107" s="11" t="n"/>
      <c r="E107" s="14" t="n"/>
      <c r="F107" s="8">
        <f>IF($D107="","",IF(OR($D107="Licenza - settimana intera",$D107="Attività esterna - settimana intera"),"NO - non recuperabile","SI - settimana successiva"))</f>
        <v/>
      </c>
      <c r="G107" s="11" t="n"/>
    </row>
    <row r="108" ht="16" customHeight="1">
      <c r="A108" s="13" t="n"/>
      <c r="B108" s="8">
        <f>IF($A108="","",TEXT(Calcoli!$AB$6+($A108-1)*7,"dd/mm/yyyy")&amp;" - "&amp;TEXT(Calcoli!$AB$6+($A108-1)*7+4,"dd/mm/yyyy"))</f>
        <v/>
      </c>
      <c r="C108" s="13" t="n"/>
      <c r="D108" s="11" t="n"/>
      <c r="E108" s="14" t="n"/>
      <c r="F108" s="8">
        <f>IF($D108="","",IF(OR($D108="Licenza - settimana intera",$D108="Attività esterna - settimana intera"),"NO - non recuperabile","SI - settimana successiva"))</f>
        <v/>
      </c>
      <c r="G108" s="11" t="n"/>
    </row>
    <row r="109" ht="16" customHeight="1">
      <c r="A109" s="13" t="n"/>
      <c r="B109" s="8">
        <f>IF($A109="","",TEXT(Calcoli!$AB$6+($A109-1)*7,"dd/mm/yyyy")&amp;" - "&amp;TEXT(Calcoli!$AB$6+($A109-1)*7+4,"dd/mm/yyyy"))</f>
        <v/>
      </c>
      <c r="C109" s="13" t="n"/>
      <c r="D109" s="11" t="n"/>
      <c r="E109" s="14" t="n"/>
      <c r="F109" s="8">
        <f>IF($D109="","",IF(OR($D109="Licenza - settimana intera",$D109="Attività esterna - settimana intera"),"NO - non recuperabile","SI - settimana successiva"))</f>
        <v/>
      </c>
      <c r="G109" s="11" t="n"/>
    </row>
    <row r="110" ht="16" customHeight="1">
      <c r="A110" s="13" t="n"/>
      <c r="B110" s="8">
        <f>IF($A110="","",TEXT(Calcoli!$AB$6+($A110-1)*7,"dd/mm/yyyy")&amp;" - "&amp;TEXT(Calcoli!$AB$6+($A110-1)*7+4,"dd/mm/yyyy"))</f>
        <v/>
      </c>
      <c r="C110" s="13" t="n"/>
      <c r="D110" s="11" t="n"/>
      <c r="E110" s="14" t="n"/>
      <c r="F110" s="8">
        <f>IF($D110="","",IF(OR($D110="Licenza - settimana intera",$D110="Attività esterna - settimana intera"),"NO - non recuperabile","SI - settimana successiva"))</f>
        <v/>
      </c>
      <c r="G110" s="11" t="n"/>
    </row>
    <row r="111" ht="16" customHeight="1">
      <c r="A111" s="13" t="n"/>
      <c r="B111" s="8">
        <f>IF($A111="","",TEXT(Calcoli!$AB$6+($A111-1)*7,"dd/mm/yyyy")&amp;" - "&amp;TEXT(Calcoli!$AB$6+($A111-1)*7+4,"dd/mm/yyyy"))</f>
        <v/>
      </c>
      <c r="C111" s="13" t="n"/>
      <c r="D111" s="11" t="n"/>
      <c r="E111" s="14" t="n"/>
      <c r="F111" s="8">
        <f>IF($D111="","",IF(OR($D111="Licenza - settimana intera",$D111="Attività esterna - settimana intera"),"NO - non recuperabile","SI - settimana successiva"))</f>
        <v/>
      </c>
      <c r="G111" s="11" t="n"/>
    </row>
    <row r="112" ht="16" customHeight="1">
      <c r="A112" s="13" t="n"/>
      <c r="B112" s="8">
        <f>IF($A112="","",TEXT(Calcoli!$AB$6+($A112-1)*7,"dd/mm/yyyy")&amp;" - "&amp;TEXT(Calcoli!$AB$6+($A112-1)*7+4,"dd/mm/yyyy"))</f>
        <v/>
      </c>
      <c r="C112" s="13" t="n"/>
      <c r="D112" s="11" t="n"/>
      <c r="E112" s="14" t="n"/>
      <c r="F112" s="8">
        <f>IF($D112="","",IF(OR($D112="Licenza - settimana intera",$D112="Attività esterna - settimana intera"),"NO - non recuperabile","SI - settimana successiva"))</f>
        <v/>
      </c>
      <c r="G112" s="11" t="n"/>
    </row>
    <row r="113" ht="16" customHeight="1">
      <c r="A113" s="13" t="n"/>
      <c r="B113" s="8">
        <f>IF($A113="","",TEXT(Calcoli!$AB$6+($A113-1)*7,"dd/mm/yyyy")&amp;" - "&amp;TEXT(Calcoli!$AB$6+($A113-1)*7+4,"dd/mm/yyyy"))</f>
        <v/>
      </c>
      <c r="C113" s="13" t="n"/>
      <c r="D113" s="11" t="n"/>
      <c r="E113" s="14" t="n"/>
      <c r="F113" s="8">
        <f>IF($D113="","",IF(OR($D113="Licenza - settimana intera",$D113="Attività esterna - settimana intera"),"NO - non recuperabile","SI - settimana successiva"))</f>
        <v/>
      </c>
      <c r="G113" s="11" t="n"/>
    </row>
    <row r="114" ht="16" customHeight="1">
      <c r="A114" s="13" t="n"/>
      <c r="B114" s="8">
        <f>IF($A114="","",TEXT(Calcoli!$AB$6+($A114-1)*7,"dd/mm/yyyy")&amp;" - "&amp;TEXT(Calcoli!$AB$6+($A114-1)*7+4,"dd/mm/yyyy"))</f>
        <v/>
      </c>
      <c r="C114" s="13" t="n"/>
      <c r="D114" s="11" t="n"/>
      <c r="E114" s="14" t="n"/>
      <c r="F114" s="8">
        <f>IF($D114="","",IF(OR($D114="Licenza - settimana intera",$D114="Attività esterna - settimana intera"),"NO - non recuperabile","SI - settimana successiva"))</f>
        <v/>
      </c>
      <c r="G114" s="11" t="n"/>
    </row>
    <row r="115" ht="16" customHeight="1">
      <c r="A115" s="13" t="n"/>
      <c r="B115" s="8">
        <f>IF($A115="","",TEXT(Calcoli!$AB$6+($A115-1)*7,"dd/mm/yyyy")&amp;" - "&amp;TEXT(Calcoli!$AB$6+($A115-1)*7+4,"dd/mm/yyyy"))</f>
        <v/>
      </c>
      <c r="C115" s="13" t="n"/>
      <c r="D115" s="11" t="n"/>
      <c r="E115" s="14" t="n"/>
      <c r="F115" s="8">
        <f>IF($D115="","",IF(OR($D115="Licenza - settimana intera",$D115="Attività esterna - settimana intera"),"NO - non recuperabile","SI - settimana successiva"))</f>
        <v/>
      </c>
      <c r="G115" s="11" t="n"/>
    </row>
    <row r="116" ht="16" customHeight="1">
      <c r="A116" s="13" t="n"/>
      <c r="B116" s="8">
        <f>IF($A116="","",TEXT(Calcoli!$AB$6+($A116-1)*7,"dd/mm/yyyy")&amp;" - "&amp;TEXT(Calcoli!$AB$6+($A116-1)*7+4,"dd/mm/yyyy"))</f>
        <v/>
      </c>
      <c r="C116" s="13" t="n"/>
      <c r="D116" s="11" t="n"/>
      <c r="E116" s="14" t="n"/>
      <c r="F116" s="8">
        <f>IF($D116="","",IF(OR($D116="Licenza - settimana intera",$D116="Attività esterna - settimana intera"),"NO - non recuperabile","SI - settimana successiva"))</f>
        <v/>
      </c>
      <c r="G116" s="11" t="n"/>
    </row>
    <row r="117" ht="16" customHeight="1">
      <c r="A117" s="13" t="n"/>
      <c r="B117" s="8">
        <f>IF($A117="","",TEXT(Calcoli!$AB$6+($A117-1)*7,"dd/mm/yyyy")&amp;" - "&amp;TEXT(Calcoli!$AB$6+($A117-1)*7+4,"dd/mm/yyyy"))</f>
        <v/>
      </c>
      <c r="C117" s="13" t="n"/>
      <c r="D117" s="11" t="n"/>
      <c r="E117" s="14" t="n"/>
      <c r="F117" s="8">
        <f>IF($D117="","",IF(OR($D117="Licenza - settimana intera",$D117="Attività esterna - settimana intera"),"NO - non recuperabile","SI - settimana successiva"))</f>
        <v/>
      </c>
      <c r="G117" s="11" t="n"/>
    </row>
    <row r="118" ht="16" customHeight="1">
      <c r="A118" s="13" t="n"/>
      <c r="B118" s="8">
        <f>IF($A118="","",TEXT(Calcoli!$AB$6+($A118-1)*7,"dd/mm/yyyy")&amp;" - "&amp;TEXT(Calcoli!$AB$6+($A118-1)*7+4,"dd/mm/yyyy"))</f>
        <v/>
      </c>
      <c r="C118" s="13" t="n"/>
      <c r="D118" s="11" t="n"/>
      <c r="E118" s="14" t="n"/>
      <c r="F118" s="8">
        <f>IF($D118="","",IF(OR($D118="Licenza - settimana intera",$D118="Attività esterna - settimana intera"),"NO - non recuperabile","SI - settimana successiva"))</f>
        <v/>
      </c>
      <c r="G118" s="11" t="n"/>
    </row>
    <row r="119" ht="16" customHeight="1">
      <c r="A119" s="13" t="n"/>
      <c r="B119" s="8">
        <f>IF($A119="","",TEXT(Calcoli!$AB$6+($A119-1)*7,"dd/mm/yyyy")&amp;" - "&amp;TEXT(Calcoli!$AB$6+($A119-1)*7+4,"dd/mm/yyyy"))</f>
        <v/>
      </c>
      <c r="C119" s="13" t="n"/>
      <c r="D119" s="11" t="n"/>
      <c r="E119" s="14" t="n"/>
      <c r="F119" s="8">
        <f>IF($D119="","",IF(OR($D119="Licenza - settimana intera",$D119="Attività esterna - settimana intera"),"NO - non recuperabile","SI - settimana successiva"))</f>
        <v/>
      </c>
      <c r="G119" s="11" t="n"/>
    </row>
    <row r="120" ht="16" customHeight="1">
      <c r="A120" s="13" t="n"/>
      <c r="B120" s="8">
        <f>IF($A120="","",TEXT(Calcoli!$AB$6+($A120-1)*7,"dd/mm/yyyy")&amp;" - "&amp;TEXT(Calcoli!$AB$6+($A120-1)*7+4,"dd/mm/yyyy"))</f>
        <v/>
      </c>
      <c r="C120" s="13" t="n"/>
      <c r="D120" s="11" t="n"/>
      <c r="E120" s="14" t="n"/>
      <c r="F120" s="8">
        <f>IF($D120="","",IF(OR($D120="Licenza - settimana intera",$D120="Attività esterna - settimana intera"),"NO - non recuperabile","SI - settimana successiva"))</f>
        <v/>
      </c>
      <c r="G120" s="11" t="n"/>
    </row>
    <row r="121" ht="16" customHeight="1">
      <c r="A121" s="13" t="n"/>
      <c r="B121" s="8">
        <f>IF($A121="","",TEXT(Calcoli!$AB$6+($A121-1)*7,"dd/mm/yyyy")&amp;" - "&amp;TEXT(Calcoli!$AB$6+($A121-1)*7+4,"dd/mm/yyyy"))</f>
        <v/>
      </c>
      <c r="C121" s="13" t="n"/>
      <c r="D121" s="11" t="n"/>
      <c r="E121" s="14" t="n"/>
      <c r="F121" s="8">
        <f>IF($D121="","",IF(OR($D121="Licenza - settimana intera",$D121="Attività esterna - settimana intera"),"NO - non recuperabile","SI - settimana successiva"))</f>
        <v/>
      </c>
      <c r="G121" s="11" t="n"/>
    </row>
    <row r="122" ht="16" customHeight="1">
      <c r="A122" s="13" t="n"/>
      <c r="B122" s="8">
        <f>IF($A122="","",TEXT(Calcoli!$AB$6+($A122-1)*7,"dd/mm/yyyy")&amp;" - "&amp;TEXT(Calcoli!$AB$6+($A122-1)*7+4,"dd/mm/yyyy"))</f>
        <v/>
      </c>
      <c r="C122" s="13" t="n"/>
      <c r="D122" s="11" t="n"/>
      <c r="E122" s="14" t="n"/>
      <c r="F122" s="8">
        <f>IF($D122="","",IF(OR($D122="Licenza - settimana intera",$D122="Attività esterna - settimana intera"),"NO - non recuperabile","SI - settimana successiva"))</f>
        <v/>
      </c>
      <c r="G122" s="11" t="n"/>
    </row>
    <row r="123" ht="16" customHeight="1">
      <c r="A123" s="13" t="n"/>
      <c r="B123" s="8">
        <f>IF($A123="","",TEXT(Calcoli!$AB$6+($A123-1)*7,"dd/mm/yyyy")&amp;" - "&amp;TEXT(Calcoli!$AB$6+($A123-1)*7+4,"dd/mm/yyyy"))</f>
        <v/>
      </c>
      <c r="C123" s="13" t="n"/>
      <c r="D123" s="11" t="n"/>
      <c r="E123" s="14" t="n"/>
      <c r="F123" s="8">
        <f>IF($D123="","",IF(OR($D123="Licenza - settimana intera",$D123="Attività esterna - settimana intera"),"NO - non recuperabile","SI - settimana successiva"))</f>
        <v/>
      </c>
      <c r="G123" s="11" t="n"/>
    </row>
    <row r="124" ht="16" customHeight="1">
      <c r="A124" s="13" t="n"/>
      <c r="B124" s="8">
        <f>IF($A124="","",TEXT(Calcoli!$AB$6+($A124-1)*7,"dd/mm/yyyy")&amp;" - "&amp;TEXT(Calcoli!$AB$6+($A124-1)*7+4,"dd/mm/yyyy"))</f>
        <v/>
      </c>
      <c r="C124" s="13" t="n"/>
      <c r="D124" s="11" t="n"/>
      <c r="E124" s="14" t="n"/>
      <c r="F124" s="8">
        <f>IF($D124="","",IF(OR($D124="Licenza - settimana intera",$D124="Attività esterna - settimana intera"),"NO - non recuperabile","SI - settimana successiva"))</f>
        <v/>
      </c>
      <c r="G124" s="11" t="n"/>
    </row>
    <row r="125" ht="16" customHeight="1">
      <c r="A125" s="13" t="n"/>
      <c r="B125" s="8">
        <f>IF($A125="","",TEXT(Calcoli!$AB$6+($A125-1)*7,"dd/mm/yyyy")&amp;" - "&amp;TEXT(Calcoli!$AB$6+($A125-1)*7+4,"dd/mm/yyyy"))</f>
        <v/>
      </c>
      <c r="C125" s="13" t="n"/>
      <c r="D125" s="11" t="n"/>
      <c r="E125" s="14" t="n"/>
      <c r="F125" s="8">
        <f>IF($D125="","",IF(OR($D125="Licenza - settimana intera",$D125="Attività esterna - settimana intera"),"NO - non recuperabile","SI - settimana successiva"))</f>
        <v/>
      </c>
      <c r="G125" s="11" t="n"/>
    </row>
    <row r="126" ht="16" customHeight="1">
      <c r="A126" s="13" t="n"/>
      <c r="B126" s="8">
        <f>IF($A126="","",TEXT(Calcoli!$AB$6+($A126-1)*7,"dd/mm/yyyy")&amp;" - "&amp;TEXT(Calcoli!$AB$6+($A126-1)*7+4,"dd/mm/yyyy"))</f>
        <v/>
      </c>
      <c r="C126" s="13" t="n"/>
      <c r="D126" s="11" t="n"/>
      <c r="E126" s="14" t="n"/>
      <c r="F126" s="8">
        <f>IF($D126="","",IF(OR($D126="Licenza - settimana intera",$D126="Attività esterna - settimana intera"),"NO - non recuperabile","SI - settimana successiva"))</f>
        <v/>
      </c>
      <c r="G126" s="11" t="n"/>
    </row>
    <row r="127" ht="16" customHeight="1">
      <c r="A127" s="13" t="n"/>
      <c r="B127" s="8">
        <f>IF($A127="","",TEXT(Calcoli!$AB$6+($A127-1)*7,"dd/mm/yyyy")&amp;" - "&amp;TEXT(Calcoli!$AB$6+($A127-1)*7+4,"dd/mm/yyyy"))</f>
        <v/>
      </c>
      <c r="C127" s="13" t="n"/>
      <c r="D127" s="11" t="n"/>
      <c r="E127" s="14" t="n"/>
      <c r="F127" s="8">
        <f>IF($D127="","",IF(OR($D127="Licenza - settimana intera",$D127="Attività esterna - settimana intera"),"NO - non recuperabile","SI - settimana successiva"))</f>
        <v/>
      </c>
      <c r="G127" s="11" t="n"/>
    </row>
    <row r="128" ht="16" customHeight="1">
      <c r="A128" s="13" t="n"/>
      <c r="B128" s="8">
        <f>IF($A128="","",TEXT(Calcoli!$AB$6+($A128-1)*7,"dd/mm/yyyy")&amp;" - "&amp;TEXT(Calcoli!$AB$6+($A128-1)*7+4,"dd/mm/yyyy"))</f>
        <v/>
      </c>
      <c r="C128" s="13" t="n"/>
      <c r="D128" s="11" t="n"/>
      <c r="E128" s="14" t="n"/>
      <c r="F128" s="8">
        <f>IF($D128="","",IF(OR($D128="Licenza - settimana intera",$D128="Attività esterna - settimana intera"),"NO - non recuperabile","SI - settimana successiva"))</f>
        <v/>
      </c>
      <c r="G128" s="11" t="n"/>
    </row>
    <row r="129" ht="16" customHeight="1">
      <c r="A129" s="13" t="n"/>
      <c r="B129" s="8">
        <f>IF($A129="","",TEXT(Calcoli!$AB$6+($A129-1)*7,"dd/mm/yyyy")&amp;" - "&amp;TEXT(Calcoli!$AB$6+($A129-1)*7+4,"dd/mm/yyyy"))</f>
        <v/>
      </c>
      <c r="C129" s="13" t="n"/>
      <c r="D129" s="11" t="n"/>
      <c r="E129" s="14" t="n"/>
      <c r="F129" s="8">
        <f>IF($D129="","",IF(OR($D129="Licenza - settimana intera",$D129="Attività esterna - settimana intera"),"NO - non recuperabile","SI - settimana successiva"))</f>
        <v/>
      </c>
      <c r="G129" s="11" t="n"/>
    </row>
    <row r="130" ht="16" customHeight="1">
      <c r="A130" s="13" t="n"/>
      <c r="B130" s="8">
        <f>IF($A130="","",TEXT(Calcoli!$AB$6+($A130-1)*7,"dd/mm/yyyy")&amp;" - "&amp;TEXT(Calcoli!$AB$6+($A130-1)*7+4,"dd/mm/yyyy"))</f>
        <v/>
      </c>
      <c r="C130" s="13" t="n"/>
      <c r="D130" s="11" t="n"/>
      <c r="E130" s="14" t="n"/>
      <c r="F130" s="8">
        <f>IF($D130="","",IF(OR($D130="Licenza - settimana intera",$D130="Attività esterna - settimana intera"),"NO - non recuperabile","SI - settimana successiva"))</f>
        <v/>
      </c>
      <c r="G130" s="11" t="n"/>
    </row>
    <row r="131" ht="16" customHeight="1">
      <c r="A131" s="13" t="n"/>
      <c r="B131" s="8">
        <f>IF($A131="","",TEXT(Calcoli!$AB$6+($A131-1)*7,"dd/mm/yyyy")&amp;" - "&amp;TEXT(Calcoli!$AB$6+($A131-1)*7+4,"dd/mm/yyyy"))</f>
        <v/>
      </c>
      <c r="C131" s="13" t="n"/>
      <c r="D131" s="11" t="n"/>
      <c r="E131" s="14" t="n"/>
      <c r="F131" s="8">
        <f>IF($D131="","",IF(OR($D131="Licenza - settimana intera",$D131="Attività esterna - settimana intera"),"NO - non recuperabile","SI - settimana successiva"))</f>
        <v/>
      </c>
      <c r="G131" s="11" t="n"/>
    </row>
    <row r="132" ht="16" customHeight="1">
      <c r="A132" s="13" t="n"/>
      <c r="B132" s="8">
        <f>IF($A132="","",TEXT(Calcoli!$AB$6+($A132-1)*7,"dd/mm/yyyy")&amp;" - "&amp;TEXT(Calcoli!$AB$6+($A132-1)*7+4,"dd/mm/yyyy"))</f>
        <v/>
      </c>
      <c r="C132" s="13" t="n"/>
      <c r="D132" s="11" t="n"/>
      <c r="E132" s="14" t="n"/>
      <c r="F132" s="8">
        <f>IF($D132="","",IF(OR($D132="Licenza - settimana intera",$D132="Attività esterna - settimana intera"),"NO - non recuperabile","SI - settimana successiva"))</f>
        <v/>
      </c>
      <c r="G132" s="11" t="n"/>
    </row>
    <row r="133" ht="16" customHeight="1">
      <c r="A133" s="13" t="n"/>
      <c r="B133" s="8">
        <f>IF($A133="","",TEXT(Calcoli!$AB$6+($A133-1)*7,"dd/mm/yyyy")&amp;" - "&amp;TEXT(Calcoli!$AB$6+($A133-1)*7+4,"dd/mm/yyyy"))</f>
        <v/>
      </c>
      <c r="C133" s="13" t="n"/>
      <c r="D133" s="11" t="n"/>
      <c r="E133" s="14" t="n"/>
      <c r="F133" s="8">
        <f>IF($D133="","",IF(OR($D133="Licenza - settimana intera",$D133="Attività esterna - settimana intera"),"NO - non recuperabile","SI - settimana successiva"))</f>
        <v/>
      </c>
      <c r="G133" s="11" t="n"/>
    </row>
    <row r="134" ht="16" customHeight="1">
      <c r="A134" s="13" t="n"/>
      <c r="B134" s="8">
        <f>IF($A134="","",TEXT(Calcoli!$AB$6+($A134-1)*7,"dd/mm/yyyy")&amp;" - "&amp;TEXT(Calcoli!$AB$6+($A134-1)*7+4,"dd/mm/yyyy"))</f>
        <v/>
      </c>
      <c r="C134" s="13" t="n"/>
      <c r="D134" s="11" t="n"/>
      <c r="E134" s="14" t="n"/>
      <c r="F134" s="8">
        <f>IF($D134="","",IF(OR($D134="Licenza - settimana intera",$D134="Attività esterna - settimana intera"),"NO - non recuperabile","SI - settimana successiva"))</f>
        <v/>
      </c>
      <c r="G134" s="11" t="n"/>
    </row>
    <row r="135" ht="16" customHeight="1">
      <c r="A135" s="13" t="n"/>
      <c r="B135" s="8">
        <f>IF($A135="","",TEXT(Calcoli!$AB$6+($A135-1)*7,"dd/mm/yyyy")&amp;" - "&amp;TEXT(Calcoli!$AB$6+($A135-1)*7+4,"dd/mm/yyyy"))</f>
        <v/>
      </c>
      <c r="C135" s="13" t="n"/>
      <c r="D135" s="11" t="n"/>
      <c r="E135" s="14" t="n"/>
      <c r="F135" s="8">
        <f>IF($D135="","",IF(OR($D135="Licenza - settimana intera",$D135="Attività esterna - settimana intera"),"NO - non recuperabile","SI - settimana successiva"))</f>
        <v/>
      </c>
      <c r="G135" s="11" t="n"/>
    </row>
    <row r="136" ht="16" customHeight="1">
      <c r="A136" s="13" t="n"/>
      <c r="B136" s="8">
        <f>IF($A136="","",TEXT(Calcoli!$AB$6+($A136-1)*7,"dd/mm/yyyy")&amp;" - "&amp;TEXT(Calcoli!$AB$6+($A136-1)*7+4,"dd/mm/yyyy"))</f>
        <v/>
      </c>
      <c r="C136" s="13" t="n"/>
      <c r="D136" s="11" t="n"/>
      <c r="E136" s="14" t="n"/>
      <c r="F136" s="8">
        <f>IF($D136="","",IF(OR($D136="Licenza - settimana intera",$D136="Attività esterna - settimana intera"),"NO - non recuperabile","SI - settimana successiva"))</f>
        <v/>
      </c>
      <c r="G136" s="11" t="n"/>
    </row>
    <row r="137" ht="16" customHeight="1">
      <c r="A137" s="13" t="n"/>
      <c r="B137" s="8">
        <f>IF($A137="","",TEXT(Calcoli!$AB$6+($A137-1)*7,"dd/mm/yyyy")&amp;" - "&amp;TEXT(Calcoli!$AB$6+($A137-1)*7+4,"dd/mm/yyyy"))</f>
        <v/>
      </c>
      <c r="C137" s="13" t="n"/>
      <c r="D137" s="11" t="n"/>
      <c r="E137" s="14" t="n"/>
      <c r="F137" s="8">
        <f>IF($D137="","",IF(OR($D137="Licenza - settimana intera",$D137="Attività esterna - settimana intera"),"NO - non recuperabile","SI - settimana successiva"))</f>
        <v/>
      </c>
      <c r="G137" s="11" t="n"/>
    </row>
    <row r="138" ht="16" customHeight="1">
      <c r="A138" s="13" t="n"/>
      <c r="B138" s="8">
        <f>IF($A138="","",TEXT(Calcoli!$AB$6+($A138-1)*7,"dd/mm/yyyy")&amp;" - "&amp;TEXT(Calcoli!$AB$6+($A138-1)*7+4,"dd/mm/yyyy"))</f>
        <v/>
      </c>
      <c r="C138" s="13" t="n"/>
      <c r="D138" s="11" t="n"/>
      <c r="E138" s="14" t="n"/>
      <c r="F138" s="8">
        <f>IF($D138="","",IF(OR($D138="Licenza - settimana intera",$D138="Attività esterna - settimana intera"),"NO - non recuperabile","SI - settimana successiva"))</f>
        <v/>
      </c>
      <c r="G138" s="11" t="n"/>
    </row>
    <row r="139" ht="16" customHeight="1">
      <c r="A139" s="13" t="n"/>
      <c r="B139" s="8">
        <f>IF($A139="","",TEXT(Calcoli!$AB$6+($A139-1)*7,"dd/mm/yyyy")&amp;" - "&amp;TEXT(Calcoli!$AB$6+($A139-1)*7+4,"dd/mm/yyyy"))</f>
        <v/>
      </c>
      <c r="C139" s="13" t="n"/>
      <c r="D139" s="11" t="n"/>
      <c r="E139" s="14" t="n"/>
      <c r="F139" s="8">
        <f>IF($D139="","",IF(OR($D139="Licenza - settimana intera",$D139="Attività esterna - settimana intera"),"NO - non recuperabile","SI - settimana successiva"))</f>
        <v/>
      </c>
      <c r="G139" s="11" t="n"/>
    </row>
    <row r="140" ht="16" customHeight="1">
      <c r="A140" s="13" t="n"/>
      <c r="B140" s="8">
        <f>IF($A140="","",TEXT(Calcoli!$AB$6+($A140-1)*7,"dd/mm/yyyy")&amp;" - "&amp;TEXT(Calcoli!$AB$6+($A140-1)*7+4,"dd/mm/yyyy"))</f>
        <v/>
      </c>
      <c r="C140" s="13" t="n"/>
      <c r="D140" s="11" t="n"/>
      <c r="E140" s="14" t="n"/>
      <c r="F140" s="8">
        <f>IF($D140="","",IF(OR($D140="Licenza - settimana intera",$D140="Attività esterna - settimana intera"),"NO - non recuperabile","SI - settimana successiva"))</f>
        <v/>
      </c>
      <c r="G140" s="11" t="n"/>
    </row>
    <row r="141" ht="16" customHeight="1">
      <c r="A141" s="13" t="n"/>
      <c r="B141" s="8">
        <f>IF($A141="","",TEXT(Calcoli!$AB$6+($A141-1)*7,"dd/mm/yyyy")&amp;" - "&amp;TEXT(Calcoli!$AB$6+($A141-1)*7+4,"dd/mm/yyyy"))</f>
        <v/>
      </c>
      <c r="C141" s="13" t="n"/>
      <c r="D141" s="11" t="n"/>
      <c r="E141" s="14" t="n"/>
      <c r="F141" s="8">
        <f>IF($D141="","",IF(OR($D141="Licenza - settimana intera",$D141="Attività esterna - settimana intera"),"NO - non recuperabile","SI - settimana successiva"))</f>
        <v/>
      </c>
      <c r="G141" s="11" t="n"/>
    </row>
    <row r="142" ht="16" customHeight="1">
      <c r="A142" s="13" t="n"/>
      <c r="B142" s="8">
        <f>IF($A142="","",TEXT(Calcoli!$AB$6+($A142-1)*7,"dd/mm/yyyy")&amp;" - "&amp;TEXT(Calcoli!$AB$6+($A142-1)*7+4,"dd/mm/yyyy"))</f>
        <v/>
      </c>
      <c r="C142" s="13" t="n"/>
      <c r="D142" s="11" t="n"/>
      <c r="E142" s="14" t="n"/>
      <c r="F142" s="8">
        <f>IF($D142="","",IF(OR($D142="Licenza - settimana intera",$D142="Attività esterna - settimana intera"),"NO - non recuperabile","SI - settimana successiva"))</f>
        <v/>
      </c>
      <c r="G142" s="11" t="n"/>
    </row>
    <row r="143" ht="16" customHeight="1">
      <c r="A143" s="13" t="n"/>
      <c r="B143" s="8">
        <f>IF($A143="","",TEXT(Calcoli!$AB$6+($A143-1)*7,"dd/mm/yyyy")&amp;" - "&amp;TEXT(Calcoli!$AB$6+($A143-1)*7+4,"dd/mm/yyyy"))</f>
        <v/>
      </c>
      <c r="C143" s="13" t="n"/>
      <c r="D143" s="11" t="n"/>
      <c r="E143" s="14" t="n"/>
      <c r="F143" s="8">
        <f>IF($D143="","",IF(OR($D143="Licenza - settimana intera",$D143="Attività esterna - settimana intera"),"NO - non recuperabile","SI - settimana successiva"))</f>
        <v/>
      </c>
      <c r="G143" s="11" t="n"/>
    </row>
    <row r="144" ht="16" customHeight="1">
      <c r="A144" s="13" t="n"/>
      <c r="B144" s="8">
        <f>IF($A144="","",TEXT(Calcoli!$AB$6+($A144-1)*7,"dd/mm/yyyy")&amp;" - "&amp;TEXT(Calcoli!$AB$6+($A144-1)*7+4,"dd/mm/yyyy"))</f>
        <v/>
      </c>
      <c r="C144" s="13" t="n"/>
      <c r="D144" s="11" t="n"/>
      <c r="E144" s="14" t="n"/>
      <c r="F144" s="8">
        <f>IF($D144="","",IF(OR($D144="Licenza - settimana intera",$D144="Attività esterna - settimana intera"),"NO - non recuperabile","SI - settimana successiva"))</f>
        <v/>
      </c>
      <c r="G144" s="11" t="n"/>
    </row>
    <row r="145" ht="16" customHeight="1">
      <c r="A145" s="13" t="n"/>
      <c r="B145" s="8">
        <f>IF($A145="","",TEXT(Calcoli!$AB$6+($A145-1)*7,"dd/mm/yyyy")&amp;" - "&amp;TEXT(Calcoli!$AB$6+($A145-1)*7+4,"dd/mm/yyyy"))</f>
        <v/>
      </c>
      <c r="C145" s="13" t="n"/>
      <c r="D145" s="11" t="n"/>
      <c r="E145" s="14" t="n"/>
      <c r="F145" s="8">
        <f>IF($D145="","",IF(OR($D145="Licenza - settimana intera",$D145="Attività esterna - settimana intera"),"NO - non recuperabile","SI - settimana successiva"))</f>
        <v/>
      </c>
      <c r="G145" s="11" t="n"/>
    </row>
    <row r="146" ht="16" customHeight="1">
      <c r="A146" s="13" t="n"/>
      <c r="B146" s="8">
        <f>IF($A146="","",TEXT(Calcoli!$AB$6+($A146-1)*7,"dd/mm/yyyy")&amp;" - "&amp;TEXT(Calcoli!$AB$6+($A146-1)*7+4,"dd/mm/yyyy"))</f>
        <v/>
      </c>
      <c r="C146" s="13" t="n"/>
      <c r="D146" s="11" t="n"/>
      <c r="E146" s="14" t="n"/>
      <c r="F146" s="8">
        <f>IF($D146="","",IF(OR($D146="Licenza - settimana intera",$D146="Attività esterna - settimana intera"),"NO - non recuperabile","SI - settimana successiva"))</f>
        <v/>
      </c>
      <c r="G146" s="11" t="n"/>
    </row>
    <row r="147" ht="16" customHeight="1">
      <c r="A147" s="13" t="n"/>
      <c r="B147" s="8">
        <f>IF($A147="","",TEXT(Calcoli!$AB$6+($A147-1)*7,"dd/mm/yyyy")&amp;" - "&amp;TEXT(Calcoli!$AB$6+($A147-1)*7+4,"dd/mm/yyyy"))</f>
        <v/>
      </c>
      <c r="C147" s="13" t="n"/>
      <c r="D147" s="11" t="n"/>
      <c r="E147" s="14" t="n"/>
      <c r="F147" s="8">
        <f>IF($D147="","",IF(OR($D147="Licenza - settimana intera",$D147="Attività esterna - settimana intera"),"NO - non recuperabile","SI - settimana successiva"))</f>
        <v/>
      </c>
      <c r="G147" s="11" t="n"/>
    </row>
    <row r="148" ht="16" customHeight="1">
      <c r="A148" s="13" t="n"/>
      <c r="B148" s="8">
        <f>IF($A148="","",TEXT(Calcoli!$AB$6+($A148-1)*7,"dd/mm/yyyy")&amp;" - "&amp;TEXT(Calcoli!$AB$6+($A148-1)*7+4,"dd/mm/yyyy"))</f>
        <v/>
      </c>
      <c r="C148" s="13" t="n"/>
      <c r="D148" s="11" t="n"/>
      <c r="E148" s="14" t="n"/>
      <c r="F148" s="8">
        <f>IF($D148="","",IF(OR($D148="Licenza - settimana intera",$D148="Attività esterna - settimana intera"),"NO - non recuperabile","SI - settimana successiva"))</f>
        <v/>
      </c>
      <c r="G148" s="11" t="n"/>
    </row>
    <row r="149" ht="16" customHeight="1">
      <c r="A149" s="13" t="n"/>
      <c r="B149" s="8">
        <f>IF($A149="","",TEXT(Calcoli!$AB$6+($A149-1)*7,"dd/mm/yyyy")&amp;" - "&amp;TEXT(Calcoli!$AB$6+($A149-1)*7+4,"dd/mm/yyyy"))</f>
        <v/>
      </c>
      <c r="C149" s="13" t="n"/>
      <c r="D149" s="11" t="n"/>
      <c r="E149" s="14" t="n"/>
      <c r="F149" s="8">
        <f>IF($D149="","",IF(OR($D149="Licenza - settimana intera",$D149="Attività esterna - settimana intera"),"NO - non recuperabile","SI - settimana successiva"))</f>
        <v/>
      </c>
      <c r="G149" s="11" t="n"/>
    </row>
    <row r="150" ht="16" customHeight="1">
      <c r="A150" s="13" t="n"/>
      <c r="B150" s="8">
        <f>IF($A150="","",TEXT(Calcoli!$AB$6+($A150-1)*7,"dd/mm/yyyy")&amp;" - "&amp;TEXT(Calcoli!$AB$6+($A150-1)*7+4,"dd/mm/yyyy"))</f>
        <v/>
      </c>
      <c r="C150" s="13" t="n"/>
      <c r="D150" s="11" t="n"/>
      <c r="E150" s="14" t="n"/>
      <c r="F150" s="8">
        <f>IF($D150="","",IF(OR($D150="Licenza - settimana intera",$D150="Attività esterna - settimana intera"),"NO - non recuperabile","SI - settimana successiva"))</f>
        <v/>
      </c>
      <c r="G150" s="11" t="n"/>
    </row>
    <row r="151" ht="16" customHeight="1">
      <c r="A151" s="13" t="n"/>
      <c r="B151" s="8">
        <f>IF($A151="","",TEXT(Calcoli!$AB$6+($A151-1)*7,"dd/mm/yyyy")&amp;" - "&amp;TEXT(Calcoli!$AB$6+($A151-1)*7+4,"dd/mm/yyyy"))</f>
        <v/>
      </c>
      <c r="C151" s="13" t="n"/>
      <c r="D151" s="11" t="n"/>
      <c r="E151" s="14" t="n"/>
      <c r="F151" s="8">
        <f>IF($D151="","",IF(OR($D151="Licenza - settimana intera",$D151="Attività esterna - settimana intera"),"NO - non recuperabile","SI - settimana successiva"))</f>
        <v/>
      </c>
      <c r="G151" s="11" t="n"/>
    </row>
    <row r="152" ht="16" customHeight="1">
      <c r="A152" s="13" t="n"/>
      <c r="B152" s="8">
        <f>IF($A152="","",TEXT(Calcoli!$AB$6+($A152-1)*7,"dd/mm/yyyy")&amp;" - "&amp;TEXT(Calcoli!$AB$6+($A152-1)*7+4,"dd/mm/yyyy"))</f>
        <v/>
      </c>
      <c r="C152" s="13" t="n"/>
      <c r="D152" s="11" t="n"/>
      <c r="E152" s="14" t="n"/>
      <c r="F152" s="8">
        <f>IF($D152="","",IF(OR($D152="Licenza - settimana intera",$D152="Attività esterna - settimana intera"),"NO - non recuperabile","SI - settimana successiva"))</f>
        <v/>
      </c>
      <c r="G152" s="11" t="n"/>
    </row>
    <row r="153" ht="16" customHeight="1">
      <c r="A153" s="13" t="n"/>
      <c r="B153" s="8">
        <f>IF($A153="","",TEXT(Calcoli!$AB$6+($A153-1)*7,"dd/mm/yyyy")&amp;" - "&amp;TEXT(Calcoli!$AB$6+($A153-1)*7+4,"dd/mm/yyyy"))</f>
        <v/>
      </c>
      <c r="C153" s="13" t="n"/>
      <c r="D153" s="11" t="n"/>
      <c r="E153" s="14" t="n"/>
      <c r="F153" s="8">
        <f>IF($D153="","",IF(OR($D153="Licenza - settimana intera",$D153="Attività esterna - settimana intera"),"NO - non recuperabile","SI - settimana successiva"))</f>
        <v/>
      </c>
      <c r="G153" s="11" t="n"/>
    </row>
    <row r="154" ht="16" customHeight="1">
      <c r="A154" s="13" t="n"/>
      <c r="B154" s="8">
        <f>IF($A154="","",TEXT(Calcoli!$AB$6+($A154-1)*7,"dd/mm/yyyy")&amp;" - "&amp;TEXT(Calcoli!$AB$6+($A154-1)*7+4,"dd/mm/yyyy"))</f>
        <v/>
      </c>
      <c r="C154" s="13" t="n"/>
      <c r="D154" s="11" t="n"/>
      <c r="E154" s="14" t="n"/>
      <c r="F154" s="8">
        <f>IF($D154="","",IF(OR($D154="Licenza - settimana intera",$D154="Attività esterna - settimana intera"),"NO - non recuperabile","SI - settimana successiva"))</f>
        <v/>
      </c>
      <c r="G154" s="11" t="n"/>
    </row>
    <row r="155" ht="16" customHeight="1">
      <c r="A155" s="13" t="n"/>
      <c r="B155" s="8">
        <f>IF($A155="","",TEXT(Calcoli!$AB$6+($A155-1)*7,"dd/mm/yyyy")&amp;" - "&amp;TEXT(Calcoli!$AB$6+($A155-1)*7+4,"dd/mm/yyyy"))</f>
        <v/>
      </c>
      <c r="C155" s="13" t="n"/>
      <c r="D155" s="11" t="n"/>
      <c r="E155" s="14" t="n"/>
      <c r="F155" s="8">
        <f>IF($D155="","",IF(OR($D155="Licenza - settimana intera",$D155="Attività esterna - settimana intera"),"NO - non recuperabile","SI - settimana successiva"))</f>
        <v/>
      </c>
      <c r="G155" s="11" t="n"/>
    </row>
    <row r="156" ht="16" customHeight="1">
      <c r="A156" s="13" t="n"/>
      <c r="B156" s="8">
        <f>IF($A156="","",TEXT(Calcoli!$AB$6+($A156-1)*7,"dd/mm/yyyy")&amp;" - "&amp;TEXT(Calcoli!$AB$6+($A156-1)*7+4,"dd/mm/yyyy"))</f>
        <v/>
      </c>
      <c r="C156" s="13" t="n"/>
      <c r="D156" s="11" t="n"/>
      <c r="E156" s="14" t="n"/>
      <c r="F156" s="8">
        <f>IF($D156="","",IF(OR($D156="Licenza - settimana intera",$D156="Attività esterna - settimana intera"),"NO - non recuperabile","SI - settimana successiva"))</f>
        <v/>
      </c>
      <c r="G156" s="11" t="n"/>
    </row>
    <row r="157" ht="16" customHeight="1">
      <c r="A157" s="13" t="n"/>
      <c r="B157" s="8">
        <f>IF($A157="","",TEXT(Calcoli!$AB$6+($A157-1)*7,"dd/mm/yyyy")&amp;" - "&amp;TEXT(Calcoli!$AB$6+($A157-1)*7+4,"dd/mm/yyyy"))</f>
        <v/>
      </c>
      <c r="C157" s="13" t="n"/>
      <c r="D157" s="11" t="n"/>
      <c r="E157" s="14" t="n"/>
      <c r="F157" s="8">
        <f>IF($D157="","",IF(OR($D157="Licenza - settimana intera",$D157="Attività esterna - settimana intera"),"NO - non recuperabile","SI - settimana successiva"))</f>
        <v/>
      </c>
      <c r="G157" s="11" t="n"/>
    </row>
    <row r="158" ht="16" customHeight="1">
      <c r="A158" s="13" t="n"/>
      <c r="B158" s="8">
        <f>IF($A158="","",TEXT(Calcoli!$AB$6+($A158-1)*7,"dd/mm/yyyy")&amp;" - "&amp;TEXT(Calcoli!$AB$6+($A158-1)*7+4,"dd/mm/yyyy"))</f>
        <v/>
      </c>
      <c r="C158" s="13" t="n"/>
      <c r="D158" s="11" t="n"/>
      <c r="E158" s="14" t="n"/>
      <c r="F158" s="8">
        <f>IF($D158="","",IF(OR($D158="Licenza - settimana intera",$D158="Attività esterna - settimana intera"),"NO - non recuperabile","SI - settimana successiva"))</f>
        <v/>
      </c>
      <c r="G158" s="11" t="n"/>
    </row>
    <row r="159" ht="16" customHeight="1">
      <c r="A159" s="13" t="n"/>
      <c r="B159" s="8">
        <f>IF($A159="","",TEXT(Calcoli!$AB$6+($A159-1)*7,"dd/mm/yyyy")&amp;" - "&amp;TEXT(Calcoli!$AB$6+($A159-1)*7+4,"dd/mm/yyyy"))</f>
        <v/>
      </c>
      <c r="C159" s="13" t="n"/>
      <c r="D159" s="11" t="n"/>
      <c r="E159" s="14" t="n"/>
      <c r="F159" s="8">
        <f>IF($D159="","",IF(OR($D159="Licenza - settimana intera",$D159="Attività esterna - settimana intera"),"NO - non recuperabile","SI - settimana successiva"))</f>
        <v/>
      </c>
      <c r="G159" s="11" t="n"/>
    </row>
    <row r="160" ht="16" customHeight="1">
      <c r="A160" s="13" t="n"/>
      <c r="B160" s="8">
        <f>IF($A160="","",TEXT(Calcoli!$AB$6+($A160-1)*7,"dd/mm/yyyy")&amp;" - "&amp;TEXT(Calcoli!$AB$6+($A160-1)*7+4,"dd/mm/yyyy"))</f>
        <v/>
      </c>
      <c r="C160" s="13" t="n"/>
      <c r="D160" s="11" t="n"/>
      <c r="E160" s="14" t="n"/>
      <c r="F160" s="8">
        <f>IF($D160="","",IF(OR($D160="Licenza - settimana intera",$D160="Attività esterna - settimana intera"),"NO - non recuperabile","SI - settimana successiva"))</f>
        <v/>
      </c>
      <c r="G160" s="11" t="n"/>
    </row>
    <row r="161" ht="16" customHeight="1">
      <c r="A161" s="13" t="n"/>
      <c r="B161" s="8">
        <f>IF($A161="","",TEXT(Calcoli!$AB$6+($A161-1)*7,"dd/mm/yyyy")&amp;" - "&amp;TEXT(Calcoli!$AB$6+($A161-1)*7+4,"dd/mm/yyyy"))</f>
        <v/>
      </c>
      <c r="C161" s="13" t="n"/>
      <c r="D161" s="11" t="n"/>
      <c r="E161" s="14" t="n"/>
      <c r="F161" s="8">
        <f>IF($D161="","",IF(OR($D161="Licenza - settimana intera",$D161="Attività esterna - settimana intera"),"NO - non recuperabile","SI - settimana successiva"))</f>
        <v/>
      </c>
      <c r="G161" s="11" t="n"/>
    </row>
    <row r="162" ht="16" customHeight="1">
      <c r="A162" s="13" t="n"/>
      <c r="B162" s="8">
        <f>IF($A162="","",TEXT(Calcoli!$AB$6+($A162-1)*7,"dd/mm/yyyy")&amp;" - "&amp;TEXT(Calcoli!$AB$6+($A162-1)*7+4,"dd/mm/yyyy"))</f>
        <v/>
      </c>
      <c r="C162" s="13" t="n"/>
      <c r="D162" s="11" t="n"/>
      <c r="E162" s="14" t="n"/>
      <c r="F162" s="8">
        <f>IF($D162="","",IF(OR($D162="Licenza - settimana intera",$D162="Attività esterna - settimana intera"),"NO - non recuperabile","SI - settimana successiva"))</f>
        <v/>
      </c>
      <c r="G162" s="11" t="n"/>
    </row>
    <row r="163" ht="16" customHeight="1">
      <c r="A163" s="13" t="n"/>
      <c r="B163" s="8">
        <f>IF($A163="","",TEXT(Calcoli!$AB$6+($A163-1)*7,"dd/mm/yyyy")&amp;" - "&amp;TEXT(Calcoli!$AB$6+($A163-1)*7+4,"dd/mm/yyyy"))</f>
        <v/>
      </c>
      <c r="C163" s="13" t="n"/>
      <c r="D163" s="11" t="n"/>
      <c r="E163" s="14" t="n"/>
      <c r="F163" s="8">
        <f>IF($D163="","",IF(OR($D163="Licenza - settimana intera",$D163="Attività esterna - settimana intera"),"NO - non recuperabile","SI - settimana successiva"))</f>
        <v/>
      </c>
      <c r="G163" s="11" t="n"/>
    </row>
    <row r="164" ht="16" customHeight="1">
      <c r="A164" s="13" t="n"/>
      <c r="B164" s="8">
        <f>IF($A164="","",TEXT(Calcoli!$AB$6+($A164-1)*7,"dd/mm/yyyy")&amp;" - "&amp;TEXT(Calcoli!$AB$6+($A164-1)*7+4,"dd/mm/yyyy"))</f>
        <v/>
      </c>
      <c r="C164" s="13" t="n"/>
      <c r="D164" s="11" t="n"/>
      <c r="E164" s="14" t="n"/>
      <c r="F164" s="8">
        <f>IF($D164="","",IF(OR($D164="Licenza - settimana intera",$D164="Attività esterna - settimana intera"),"NO - non recuperabile","SI - settimana successiva"))</f>
        <v/>
      </c>
      <c r="G164" s="11" t="n"/>
    </row>
    <row r="165" ht="16" customHeight="1">
      <c r="A165" s="13" t="n"/>
      <c r="B165" s="8">
        <f>IF($A165="","",TEXT(Calcoli!$AB$6+($A165-1)*7,"dd/mm/yyyy")&amp;" - "&amp;TEXT(Calcoli!$AB$6+($A165-1)*7+4,"dd/mm/yyyy"))</f>
        <v/>
      </c>
      <c r="C165" s="13" t="n"/>
      <c r="D165" s="11" t="n"/>
      <c r="E165" s="14" t="n"/>
      <c r="F165" s="8">
        <f>IF($D165="","",IF(OR($D165="Licenza - settimana intera",$D165="Attività esterna - settimana intera"),"NO - non recuperabile","SI - settimana successiva"))</f>
        <v/>
      </c>
      <c r="G165" s="11" t="n"/>
    </row>
    <row r="166" ht="16" customHeight="1">
      <c r="A166" s="13" t="n"/>
      <c r="B166" s="8">
        <f>IF($A166="","",TEXT(Calcoli!$AB$6+($A166-1)*7,"dd/mm/yyyy")&amp;" - "&amp;TEXT(Calcoli!$AB$6+($A166-1)*7+4,"dd/mm/yyyy"))</f>
        <v/>
      </c>
      <c r="C166" s="13" t="n"/>
      <c r="D166" s="11" t="n"/>
      <c r="E166" s="14" t="n"/>
      <c r="F166" s="8">
        <f>IF($D166="","",IF(OR($D166="Licenza - settimana intera",$D166="Attività esterna - settimana intera"),"NO - non recuperabile","SI - settimana successiva"))</f>
        <v/>
      </c>
      <c r="G166" s="11" t="n"/>
    </row>
    <row r="167" ht="16" customHeight="1">
      <c r="A167" s="13" t="n"/>
      <c r="B167" s="8">
        <f>IF($A167="","",TEXT(Calcoli!$AB$6+($A167-1)*7,"dd/mm/yyyy")&amp;" - "&amp;TEXT(Calcoli!$AB$6+($A167-1)*7+4,"dd/mm/yyyy"))</f>
        <v/>
      </c>
      <c r="C167" s="13" t="n"/>
      <c r="D167" s="11" t="n"/>
      <c r="E167" s="14" t="n"/>
      <c r="F167" s="8">
        <f>IF($D167="","",IF(OR($D167="Licenza - settimana intera",$D167="Attività esterna - settimana intera"),"NO - non recuperabile","SI - settimana successiva"))</f>
        <v/>
      </c>
      <c r="G167" s="11" t="n"/>
    </row>
    <row r="168" ht="16" customHeight="1">
      <c r="A168" s="13" t="n"/>
      <c r="B168" s="8">
        <f>IF($A168="","",TEXT(Calcoli!$AB$6+($A168-1)*7,"dd/mm/yyyy")&amp;" - "&amp;TEXT(Calcoli!$AB$6+($A168-1)*7+4,"dd/mm/yyyy"))</f>
        <v/>
      </c>
      <c r="C168" s="13" t="n"/>
      <c r="D168" s="11" t="n"/>
      <c r="E168" s="14" t="n"/>
      <c r="F168" s="8">
        <f>IF($D168="","",IF(OR($D168="Licenza - settimana intera",$D168="Attività esterna - settimana intera"),"NO - non recuperabile","SI - settimana successiva"))</f>
        <v/>
      </c>
      <c r="G168" s="11" t="n"/>
    </row>
    <row r="169" ht="16" customHeight="1">
      <c r="A169" s="13" t="n"/>
      <c r="B169" s="8">
        <f>IF($A169="","",TEXT(Calcoli!$AB$6+($A169-1)*7,"dd/mm/yyyy")&amp;" - "&amp;TEXT(Calcoli!$AB$6+($A169-1)*7+4,"dd/mm/yyyy"))</f>
        <v/>
      </c>
      <c r="C169" s="13" t="n"/>
      <c r="D169" s="11" t="n"/>
      <c r="E169" s="14" t="n"/>
      <c r="F169" s="8">
        <f>IF($D169="","",IF(OR($D169="Licenza - settimana intera",$D169="Attività esterna - settimana intera"),"NO - non recuperabile","SI - settimana successiva"))</f>
        <v/>
      </c>
      <c r="G169" s="11" t="n"/>
    </row>
    <row r="170" ht="16" customHeight="1">
      <c r="A170" s="13" t="n"/>
      <c r="B170" s="8">
        <f>IF($A170="","",TEXT(Calcoli!$AB$6+($A170-1)*7,"dd/mm/yyyy")&amp;" - "&amp;TEXT(Calcoli!$AB$6+($A170-1)*7+4,"dd/mm/yyyy"))</f>
        <v/>
      </c>
      <c r="C170" s="13" t="n"/>
      <c r="D170" s="11" t="n"/>
      <c r="E170" s="14" t="n"/>
      <c r="F170" s="8">
        <f>IF($D170="","",IF(OR($D170="Licenza - settimana intera",$D170="Attività esterna - settimana intera"),"NO - non recuperabile","SI - settimana successiva"))</f>
        <v/>
      </c>
      <c r="G170" s="11" t="n"/>
    </row>
    <row r="171" ht="16" customHeight="1">
      <c r="A171" s="13" t="n"/>
      <c r="B171" s="8">
        <f>IF($A171="","",TEXT(Calcoli!$AB$6+($A171-1)*7,"dd/mm/yyyy")&amp;" - "&amp;TEXT(Calcoli!$AB$6+($A171-1)*7+4,"dd/mm/yyyy"))</f>
        <v/>
      </c>
      <c r="C171" s="13" t="n"/>
      <c r="D171" s="11" t="n"/>
      <c r="E171" s="14" t="n"/>
      <c r="F171" s="8">
        <f>IF($D171="","",IF(OR($D171="Licenza - settimana intera",$D171="Attività esterna - settimana intera"),"NO - non recuperabile","SI - settimana successiva"))</f>
        <v/>
      </c>
      <c r="G171" s="11" t="n"/>
    </row>
    <row r="172" ht="16" customHeight="1">
      <c r="A172" s="13" t="n"/>
      <c r="B172" s="8">
        <f>IF($A172="","",TEXT(Calcoli!$AB$6+($A172-1)*7,"dd/mm/yyyy")&amp;" - "&amp;TEXT(Calcoli!$AB$6+($A172-1)*7+4,"dd/mm/yyyy"))</f>
        <v/>
      </c>
      <c r="C172" s="13" t="n"/>
      <c r="D172" s="11" t="n"/>
      <c r="E172" s="14" t="n"/>
      <c r="F172" s="8">
        <f>IF($D172="","",IF(OR($D172="Licenza - settimana intera",$D172="Attività esterna - settimana intera"),"NO - non recuperabile","SI - settimana successiva"))</f>
        <v/>
      </c>
      <c r="G172" s="11" t="n"/>
    </row>
    <row r="173" ht="16" customHeight="1">
      <c r="A173" s="13" t="n"/>
      <c r="B173" s="8">
        <f>IF($A173="","",TEXT(Calcoli!$AB$6+($A173-1)*7,"dd/mm/yyyy")&amp;" - "&amp;TEXT(Calcoli!$AB$6+($A173-1)*7+4,"dd/mm/yyyy"))</f>
        <v/>
      </c>
      <c r="C173" s="13" t="n"/>
      <c r="D173" s="11" t="n"/>
      <c r="E173" s="14" t="n"/>
      <c r="F173" s="8">
        <f>IF($D173="","",IF(OR($D173="Licenza - settimana intera",$D173="Attività esterna - settimana intera"),"NO - non recuperabile","SI - settimana successiva"))</f>
        <v/>
      </c>
      <c r="G173" s="11" t="n"/>
    </row>
    <row r="174" ht="16" customHeight="1">
      <c r="A174" s="13" t="n"/>
      <c r="B174" s="8">
        <f>IF($A174="","",TEXT(Calcoli!$AB$6+($A174-1)*7,"dd/mm/yyyy")&amp;" - "&amp;TEXT(Calcoli!$AB$6+($A174-1)*7+4,"dd/mm/yyyy"))</f>
        <v/>
      </c>
      <c r="C174" s="13" t="n"/>
      <c r="D174" s="11" t="n"/>
      <c r="E174" s="14" t="n"/>
      <c r="F174" s="8">
        <f>IF($D174="","",IF(OR($D174="Licenza - settimana intera",$D174="Attività esterna - settimana intera"),"NO - non recuperabile","SI - settimana successiva"))</f>
        <v/>
      </c>
      <c r="G174" s="11" t="n"/>
    </row>
    <row r="175" ht="16" customHeight="1">
      <c r="A175" s="13" t="n"/>
      <c r="B175" s="8">
        <f>IF($A175="","",TEXT(Calcoli!$AB$6+($A175-1)*7,"dd/mm/yyyy")&amp;" - "&amp;TEXT(Calcoli!$AB$6+($A175-1)*7+4,"dd/mm/yyyy"))</f>
        <v/>
      </c>
      <c r="C175" s="13" t="n"/>
      <c r="D175" s="11" t="n"/>
      <c r="E175" s="14" t="n"/>
      <c r="F175" s="8">
        <f>IF($D175="","",IF(OR($D175="Licenza - settimana intera",$D175="Attività esterna - settimana intera"),"NO - non recuperabile","SI - settimana successiva"))</f>
        <v/>
      </c>
      <c r="G175" s="11" t="n"/>
    </row>
    <row r="176" ht="16" customHeight="1">
      <c r="A176" s="13" t="n"/>
      <c r="B176" s="8">
        <f>IF($A176="","",TEXT(Calcoli!$AB$6+($A176-1)*7,"dd/mm/yyyy")&amp;" - "&amp;TEXT(Calcoli!$AB$6+($A176-1)*7+4,"dd/mm/yyyy"))</f>
        <v/>
      </c>
      <c r="C176" s="13" t="n"/>
      <c r="D176" s="11" t="n"/>
      <c r="E176" s="14" t="n"/>
      <c r="F176" s="8">
        <f>IF($D176="","",IF(OR($D176="Licenza - settimana intera",$D176="Attività esterna - settimana intera"),"NO - non recuperabile","SI - settimana successiva"))</f>
        <v/>
      </c>
      <c r="G176" s="11" t="n"/>
    </row>
    <row r="177" ht="16" customHeight="1">
      <c r="A177" s="13" t="n"/>
      <c r="B177" s="8">
        <f>IF($A177="","",TEXT(Calcoli!$AB$6+($A177-1)*7,"dd/mm/yyyy")&amp;" - "&amp;TEXT(Calcoli!$AB$6+($A177-1)*7+4,"dd/mm/yyyy"))</f>
        <v/>
      </c>
      <c r="C177" s="13" t="n"/>
      <c r="D177" s="11" t="n"/>
      <c r="E177" s="14" t="n"/>
      <c r="F177" s="8">
        <f>IF($D177="","",IF(OR($D177="Licenza - settimana intera",$D177="Attività esterna - settimana intera"),"NO - non recuperabile","SI - settimana successiva"))</f>
        <v/>
      </c>
      <c r="G177" s="11" t="n"/>
    </row>
    <row r="178" ht="16" customHeight="1">
      <c r="A178" s="13" t="n"/>
      <c r="B178" s="8">
        <f>IF($A178="","",TEXT(Calcoli!$AB$6+($A178-1)*7,"dd/mm/yyyy")&amp;" - "&amp;TEXT(Calcoli!$AB$6+($A178-1)*7+4,"dd/mm/yyyy"))</f>
        <v/>
      </c>
      <c r="C178" s="13" t="n"/>
      <c r="D178" s="11" t="n"/>
      <c r="E178" s="14" t="n"/>
      <c r="F178" s="8">
        <f>IF($D178="","",IF(OR($D178="Licenza - settimana intera",$D178="Attività esterna - settimana intera"),"NO - non recuperabile","SI - settimana successiva"))</f>
        <v/>
      </c>
      <c r="G178" s="11" t="n"/>
    </row>
    <row r="179" ht="16" customHeight="1">
      <c r="A179" s="13" t="n"/>
      <c r="B179" s="8">
        <f>IF($A179="","",TEXT(Calcoli!$AB$6+($A179-1)*7,"dd/mm/yyyy")&amp;" - "&amp;TEXT(Calcoli!$AB$6+($A179-1)*7+4,"dd/mm/yyyy"))</f>
        <v/>
      </c>
      <c r="C179" s="13" t="n"/>
      <c r="D179" s="11" t="n"/>
      <c r="E179" s="14" t="n"/>
      <c r="F179" s="8">
        <f>IF($D179="","",IF(OR($D179="Licenza - settimana intera",$D179="Attività esterna - settimana intera"),"NO - non recuperabile","SI - settimana successiva"))</f>
        <v/>
      </c>
      <c r="G179" s="11" t="n"/>
    </row>
    <row r="180" ht="16" customHeight="1">
      <c r="A180" s="13" t="n"/>
      <c r="B180" s="8">
        <f>IF($A180="","",TEXT(Calcoli!$AB$6+($A180-1)*7,"dd/mm/yyyy")&amp;" - "&amp;TEXT(Calcoli!$AB$6+($A180-1)*7+4,"dd/mm/yyyy"))</f>
        <v/>
      </c>
      <c r="C180" s="13" t="n"/>
      <c r="D180" s="11" t="n"/>
      <c r="E180" s="14" t="n"/>
      <c r="F180" s="8">
        <f>IF($D180="","",IF(OR($D180="Licenza - settimana intera",$D180="Attività esterna - settimana intera"),"NO - non recuperabile","SI - settimana successiva"))</f>
        <v/>
      </c>
      <c r="G180" s="11" t="n"/>
    </row>
    <row r="181" ht="16" customHeight="1">
      <c r="A181" s="13" t="n"/>
      <c r="B181" s="8">
        <f>IF($A181="","",TEXT(Calcoli!$AB$6+($A181-1)*7,"dd/mm/yyyy")&amp;" - "&amp;TEXT(Calcoli!$AB$6+($A181-1)*7+4,"dd/mm/yyyy"))</f>
        <v/>
      </c>
      <c r="C181" s="13" t="n"/>
      <c r="D181" s="11" t="n"/>
      <c r="E181" s="14" t="n"/>
      <c r="F181" s="8">
        <f>IF($D181="","",IF(OR($D181="Licenza - settimana intera",$D181="Attività esterna - settimana intera"),"NO - non recuperabile","SI - settimana successiva"))</f>
        <v/>
      </c>
      <c r="G181" s="11" t="n"/>
    </row>
    <row r="182" ht="16" customHeight="1">
      <c r="A182" s="13" t="n"/>
      <c r="B182" s="8">
        <f>IF($A182="","",TEXT(Calcoli!$AB$6+($A182-1)*7,"dd/mm/yyyy")&amp;" - "&amp;TEXT(Calcoli!$AB$6+($A182-1)*7+4,"dd/mm/yyyy"))</f>
        <v/>
      </c>
      <c r="C182" s="13" t="n"/>
      <c r="D182" s="11" t="n"/>
      <c r="E182" s="14" t="n"/>
      <c r="F182" s="8">
        <f>IF($D182="","",IF(OR($D182="Licenza - settimana intera",$D182="Attività esterna - settimana intera"),"NO - non recuperabile","SI - settimana successiva"))</f>
        <v/>
      </c>
      <c r="G182" s="11" t="n"/>
    </row>
    <row r="183" ht="16" customHeight="1">
      <c r="A183" s="13" t="n"/>
      <c r="B183" s="8">
        <f>IF($A183="","",TEXT(Calcoli!$AB$6+($A183-1)*7,"dd/mm/yyyy")&amp;" - "&amp;TEXT(Calcoli!$AB$6+($A183-1)*7+4,"dd/mm/yyyy"))</f>
        <v/>
      </c>
      <c r="C183" s="13" t="n"/>
      <c r="D183" s="11" t="n"/>
      <c r="E183" s="14" t="n"/>
      <c r="F183" s="8">
        <f>IF($D183="","",IF(OR($D183="Licenza - settimana intera",$D183="Attività esterna - settimana intera"),"NO - non recuperabile","SI - settimana successiva"))</f>
        <v/>
      </c>
      <c r="G183" s="11" t="n"/>
    </row>
    <row r="184" ht="16" customHeight="1">
      <c r="A184" s="13" t="n"/>
      <c r="B184" s="8">
        <f>IF($A184="","",TEXT(Calcoli!$AB$6+($A184-1)*7,"dd/mm/yyyy")&amp;" - "&amp;TEXT(Calcoli!$AB$6+($A184-1)*7+4,"dd/mm/yyyy"))</f>
        <v/>
      </c>
      <c r="C184" s="13" t="n"/>
      <c r="D184" s="11" t="n"/>
      <c r="E184" s="14" t="n"/>
      <c r="F184" s="8">
        <f>IF($D184="","",IF(OR($D184="Licenza - settimana intera",$D184="Attività esterna - settimana intera"),"NO - non recuperabile","SI - settimana successiva"))</f>
        <v/>
      </c>
      <c r="G184" s="11" t="n"/>
    </row>
    <row r="185" ht="16" customHeight="1">
      <c r="A185" s="13" t="n"/>
      <c r="B185" s="8">
        <f>IF($A185="","",TEXT(Calcoli!$AB$6+($A185-1)*7,"dd/mm/yyyy")&amp;" - "&amp;TEXT(Calcoli!$AB$6+($A185-1)*7+4,"dd/mm/yyyy"))</f>
        <v/>
      </c>
      <c r="C185" s="13" t="n"/>
      <c r="D185" s="11" t="n"/>
      <c r="E185" s="14" t="n"/>
      <c r="F185" s="8">
        <f>IF($D185="","",IF(OR($D185="Licenza - settimana intera",$D185="Attività esterna - settimana intera"),"NO - non recuperabile","SI - settimana successiva"))</f>
        <v/>
      </c>
      <c r="G185" s="11" t="n"/>
    </row>
    <row r="186" ht="16" customHeight="1">
      <c r="A186" s="13" t="n"/>
      <c r="B186" s="8">
        <f>IF($A186="","",TEXT(Calcoli!$AB$6+($A186-1)*7,"dd/mm/yyyy")&amp;" - "&amp;TEXT(Calcoli!$AB$6+($A186-1)*7+4,"dd/mm/yyyy"))</f>
        <v/>
      </c>
      <c r="C186" s="13" t="n"/>
      <c r="D186" s="11" t="n"/>
      <c r="E186" s="14" t="n"/>
      <c r="F186" s="8">
        <f>IF($D186="","",IF(OR($D186="Licenza - settimana intera",$D186="Attività esterna - settimana intera"),"NO - non recuperabile","SI - settimana successiva"))</f>
        <v/>
      </c>
      <c r="G186" s="11" t="n"/>
    </row>
    <row r="187" ht="16" customHeight="1">
      <c r="A187" s="13" t="n"/>
      <c r="B187" s="8">
        <f>IF($A187="","",TEXT(Calcoli!$AB$6+($A187-1)*7,"dd/mm/yyyy")&amp;" - "&amp;TEXT(Calcoli!$AB$6+($A187-1)*7+4,"dd/mm/yyyy"))</f>
        <v/>
      </c>
      <c r="C187" s="13" t="n"/>
      <c r="D187" s="11" t="n"/>
      <c r="E187" s="14" t="n"/>
      <c r="F187" s="8">
        <f>IF($D187="","",IF(OR($D187="Licenza - settimana intera",$D187="Attività esterna - settimana intera"),"NO - non recuperabile","SI - settimana successiva"))</f>
        <v/>
      </c>
      <c r="G187" s="11" t="n"/>
    </row>
    <row r="188" ht="16" customHeight="1">
      <c r="A188" s="13" t="n"/>
      <c r="B188" s="8">
        <f>IF($A188="","",TEXT(Calcoli!$AB$6+($A188-1)*7,"dd/mm/yyyy")&amp;" - "&amp;TEXT(Calcoli!$AB$6+($A188-1)*7+4,"dd/mm/yyyy"))</f>
        <v/>
      </c>
      <c r="C188" s="13" t="n"/>
      <c r="D188" s="11" t="n"/>
      <c r="E188" s="14" t="n"/>
      <c r="F188" s="8">
        <f>IF($D188="","",IF(OR($D188="Licenza - settimana intera",$D188="Attività esterna - settimana intera"),"NO - non recuperabile","SI - settimana successiva"))</f>
        <v/>
      </c>
      <c r="G188" s="11" t="n"/>
    </row>
    <row r="189" ht="16" customHeight="1">
      <c r="A189" s="13" t="n"/>
      <c r="B189" s="8">
        <f>IF($A189="","",TEXT(Calcoli!$AB$6+($A189-1)*7,"dd/mm/yyyy")&amp;" - "&amp;TEXT(Calcoli!$AB$6+($A189-1)*7+4,"dd/mm/yyyy"))</f>
        <v/>
      </c>
      <c r="C189" s="13" t="n"/>
      <c r="D189" s="11" t="n"/>
      <c r="E189" s="14" t="n"/>
      <c r="F189" s="8">
        <f>IF($D189="","",IF(OR($D189="Licenza - settimana intera",$D189="Attività esterna - settimana intera"),"NO - non recuperabile","SI - settimana successiva"))</f>
        <v/>
      </c>
      <c r="G189" s="11" t="n"/>
    </row>
    <row r="190" ht="16" customHeight="1">
      <c r="A190" s="13" t="n"/>
      <c r="B190" s="8">
        <f>IF($A190="","",TEXT(Calcoli!$AB$6+($A190-1)*7,"dd/mm/yyyy")&amp;" - "&amp;TEXT(Calcoli!$AB$6+($A190-1)*7+4,"dd/mm/yyyy"))</f>
        <v/>
      </c>
      <c r="C190" s="13" t="n"/>
      <c r="D190" s="11" t="n"/>
      <c r="E190" s="14" t="n"/>
      <c r="F190" s="8">
        <f>IF($D190="","",IF(OR($D190="Licenza - settimana intera",$D190="Attività esterna - settimana intera"),"NO - non recuperabile","SI - settimana successiva"))</f>
        <v/>
      </c>
      <c r="G190" s="11" t="n"/>
    </row>
    <row r="191" ht="16" customHeight="1">
      <c r="A191" s="13" t="n"/>
      <c r="B191" s="8">
        <f>IF($A191="","",TEXT(Calcoli!$AB$6+($A191-1)*7,"dd/mm/yyyy")&amp;" - "&amp;TEXT(Calcoli!$AB$6+($A191-1)*7+4,"dd/mm/yyyy"))</f>
        <v/>
      </c>
      <c r="C191" s="13" t="n"/>
      <c r="D191" s="11" t="n"/>
      <c r="E191" s="14" t="n"/>
      <c r="F191" s="8">
        <f>IF($D191="","",IF(OR($D191="Licenza - settimana intera",$D191="Attività esterna - settimana intera"),"NO - non recuperabile","SI - settimana successiva"))</f>
        <v/>
      </c>
      <c r="G191" s="11" t="n"/>
    </row>
    <row r="192" ht="16" customHeight="1">
      <c r="A192" s="13" t="n"/>
      <c r="B192" s="8">
        <f>IF($A192="","",TEXT(Calcoli!$AB$6+($A192-1)*7,"dd/mm/yyyy")&amp;" - "&amp;TEXT(Calcoli!$AB$6+($A192-1)*7+4,"dd/mm/yyyy"))</f>
        <v/>
      </c>
      <c r="C192" s="13" t="n"/>
      <c r="D192" s="11" t="n"/>
      <c r="E192" s="14" t="n"/>
      <c r="F192" s="8">
        <f>IF($D192="","",IF(OR($D192="Licenza - settimana intera",$D192="Attività esterna - settimana intera"),"NO - non recuperabile","SI - settimana successiva"))</f>
        <v/>
      </c>
      <c r="G192" s="11" t="n"/>
    </row>
    <row r="193" ht="16" customHeight="1">
      <c r="A193" s="13" t="n"/>
      <c r="B193" s="8">
        <f>IF($A193="","",TEXT(Calcoli!$AB$6+($A193-1)*7,"dd/mm/yyyy")&amp;" - "&amp;TEXT(Calcoli!$AB$6+($A193-1)*7+4,"dd/mm/yyyy"))</f>
        <v/>
      </c>
      <c r="C193" s="13" t="n"/>
      <c r="D193" s="11" t="n"/>
      <c r="E193" s="14" t="n"/>
      <c r="F193" s="8">
        <f>IF($D193="","",IF(OR($D193="Licenza - settimana intera",$D193="Attività esterna - settimana intera"),"NO - non recuperabile","SI - settimana successiva"))</f>
        <v/>
      </c>
      <c r="G193" s="11" t="n"/>
    </row>
    <row r="194" ht="16" customHeight="1">
      <c r="A194" s="13" t="n"/>
      <c r="B194" s="8">
        <f>IF($A194="","",TEXT(Calcoli!$AB$6+($A194-1)*7,"dd/mm/yyyy")&amp;" - "&amp;TEXT(Calcoli!$AB$6+($A194-1)*7+4,"dd/mm/yyyy"))</f>
        <v/>
      </c>
      <c r="C194" s="13" t="n"/>
      <c r="D194" s="11" t="n"/>
      <c r="E194" s="14" t="n"/>
      <c r="F194" s="8">
        <f>IF($D194="","",IF(OR($D194="Licenza - settimana intera",$D194="Attività esterna - settimana intera"),"NO - non recuperabile","SI - settimana successiva"))</f>
        <v/>
      </c>
      <c r="G194" s="11" t="n"/>
    </row>
    <row r="195" ht="16" customHeight="1">
      <c r="A195" s="13" t="n"/>
      <c r="B195" s="8">
        <f>IF($A195="","",TEXT(Calcoli!$AB$6+($A195-1)*7,"dd/mm/yyyy")&amp;" - "&amp;TEXT(Calcoli!$AB$6+($A195-1)*7+4,"dd/mm/yyyy"))</f>
        <v/>
      </c>
      <c r="C195" s="13" t="n"/>
      <c r="D195" s="11" t="n"/>
      <c r="E195" s="14" t="n"/>
      <c r="F195" s="8">
        <f>IF($D195="","",IF(OR($D195="Licenza - settimana intera",$D195="Attività esterna - settimana intera"),"NO - non recuperabile","SI - settimana successiva"))</f>
        <v/>
      </c>
      <c r="G195" s="11" t="n"/>
    </row>
    <row r="196" ht="16" customHeight="1">
      <c r="A196" s="13" t="n"/>
      <c r="B196" s="8">
        <f>IF($A196="","",TEXT(Calcoli!$AB$6+($A196-1)*7,"dd/mm/yyyy")&amp;" - "&amp;TEXT(Calcoli!$AB$6+($A196-1)*7+4,"dd/mm/yyyy"))</f>
        <v/>
      </c>
      <c r="C196" s="13" t="n"/>
      <c r="D196" s="11" t="n"/>
      <c r="E196" s="14" t="n"/>
      <c r="F196" s="8">
        <f>IF($D196="","",IF(OR($D196="Licenza - settimana intera",$D196="Attività esterna - settimana intera"),"NO - non recuperabile","SI - settimana successiva"))</f>
        <v/>
      </c>
      <c r="G196" s="11" t="n"/>
    </row>
    <row r="197" ht="16" customHeight="1">
      <c r="A197" s="13" t="n"/>
      <c r="B197" s="8">
        <f>IF($A197="","",TEXT(Calcoli!$AB$6+($A197-1)*7,"dd/mm/yyyy")&amp;" - "&amp;TEXT(Calcoli!$AB$6+($A197-1)*7+4,"dd/mm/yyyy"))</f>
        <v/>
      </c>
      <c r="C197" s="13" t="n"/>
      <c r="D197" s="11" t="n"/>
      <c r="E197" s="14" t="n"/>
      <c r="F197" s="8">
        <f>IF($D197="","",IF(OR($D197="Licenza - settimana intera",$D197="Attività esterna - settimana intera"),"NO - non recuperabile","SI - settimana successiva"))</f>
        <v/>
      </c>
      <c r="G197" s="11" t="n"/>
    </row>
    <row r="198" ht="16" customHeight="1">
      <c r="A198" s="13" t="n"/>
      <c r="B198" s="8">
        <f>IF($A198="","",TEXT(Calcoli!$AB$6+($A198-1)*7,"dd/mm/yyyy")&amp;" - "&amp;TEXT(Calcoli!$AB$6+($A198-1)*7+4,"dd/mm/yyyy"))</f>
        <v/>
      </c>
      <c r="C198" s="13" t="n"/>
      <c r="D198" s="11" t="n"/>
      <c r="E198" s="14" t="n"/>
      <c r="F198" s="8">
        <f>IF($D198="","",IF(OR($D198="Licenza - settimana intera",$D198="Attività esterna - settimana intera"),"NO - non recuperabile","SI - settimana successiva"))</f>
        <v/>
      </c>
      <c r="G198" s="11" t="n"/>
    </row>
    <row r="199" ht="16" customHeight="1">
      <c r="A199" s="13" t="n"/>
      <c r="B199" s="8">
        <f>IF($A199="","",TEXT(Calcoli!$AB$6+($A199-1)*7,"dd/mm/yyyy")&amp;" - "&amp;TEXT(Calcoli!$AB$6+($A199-1)*7+4,"dd/mm/yyyy"))</f>
        <v/>
      </c>
      <c r="C199" s="13" t="n"/>
      <c r="D199" s="11" t="n"/>
      <c r="E199" s="14" t="n"/>
      <c r="F199" s="8">
        <f>IF($D199="","",IF(OR($D199="Licenza - settimana intera",$D199="Attività esterna - settimana intera"),"NO - non recuperabile","SI - settimana successiva"))</f>
        <v/>
      </c>
      <c r="G199" s="11" t="n"/>
    </row>
    <row r="200" ht="16" customHeight="1">
      <c r="A200" s="13" t="n"/>
      <c r="B200" s="8">
        <f>IF($A200="","",TEXT(Calcoli!$AB$6+($A200-1)*7,"dd/mm/yyyy")&amp;" - "&amp;TEXT(Calcoli!$AB$6+($A200-1)*7+4,"dd/mm/yyyy"))</f>
        <v/>
      </c>
      <c r="C200" s="13" t="n"/>
      <c r="D200" s="11" t="n"/>
      <c r="E200" s="14" t="n"/>
      <c r="F200" s="8">
        <f>IF($D200="","",IF(OR($D200="Licenza - settimana intera",$D200="Attività esterna - settimana intera"),"NO - non recuperabile","SI - settimana successiva"))</f>
        <v/>
      </c>
      <c r="G200" s="11" t="n"/>
    </row>
    <row r="201" ht="16" customHeight="1">
      <c r="A201" s="13" t="n"/>
      <c r="B201" s="8">
        <f>IF($A201="","",TEXT(Calcoli!$AB$6+($A201-1)*7,"dd/mm/yyyy")&amp;" - "&amp;TEXT(Calcoli!$AB$6+($A201-1)*7+4,"dd/mm/yyyy"))</f>
        <v/>
      </c>
      <c r="C201" s="13" t="n"/>
      <c r="D201" s="11" t="n"/>
      <c r="E201" s="14" t="n"/>
      <c r="F201" s="8">
        <f>IF($D201="","",IF(OR($D201="Licenza - settimana intera",$D201="Attività esterna - settimana intera"),"NO - non recuperabile","SI - settimana successiva"))</f>
        <v/>
      </c>
      <c r="G201" s="11" t="n"/>
    </row>
    <row r="202" ht="16" customHeight="1">
      <c r="A202" s="13" t="n"/>
      <c r="B202" s="8">
        <f>IF($A202="","",TEXT(Calcoli!$AB$6+($A202-1)*7,"dd/mm/yyyy")&amp;" - "&amp;TEXT(Calcoli!$AB$6+($A202-1)*7+4,"dd/mm/yyyy"))</f>
        <v/>
      </c>
      <c r="C202" s="13" t="n"/>
      <c r="D202" s="11" t="n"/>
      <c r="E202" s="14" t="n"/>
      <c r="F202" s="8">
        <f>IF($D202="","",IF(OR($D202="Licenza - settimana intera",$D202="Attività esterna - settimana intera"),"NO - non recuperabile","SI - settimana successiva"))</f>
        <v/>
      </c>
      <c r="G202" s="11" t="n"/>
    </row>
    <row r="203" ht="16" customHeight="1">
      <c r="A203" s="13" t="n"/>
      <c r="B203" s="8">
        <f>IF($A203="","",TEXT(Calcoli!$AB$6+($A203-1)*7,"dd/mm/yyyy")&amp;" - "&amp;TEXT(Calcoli!$AB$6+($A203-1)*7+4,"dd/mm/yyyy"))</f>
        <v/>
      </c>
      <c r="C203" s="13" t="n"/>
      <c r="D203" s="11" t="n"/>
      <c r="E203" s="14" t="n"/>
      <c r="F203" s="8">
        <f>IF($D203="","",IF(OR($D203="Licenza - settimana intera",$D203="Attività esterna - settimana intera"),"NO - non recuperabile","SI - settimana successiva"))</f>
        <v/>
      </c>
      <c r="G203" s="11" t="n"/>
    </row>
    <row r="204" ht="16" customHeight="1">
      <c r="A204" s="13" t="n"/>
      <c r="B204" s="8">
        <f>IF($A204="","",TEXT(Calcoli!$AB$6+($A204-1)*7,"dd/mm/yyyy")&amp;" - "&amp;TEXT(Calcoli!$AB$6+($A204-1)*7+4,"dd/mm/yyyy"))</f>
        <v/>
      </c>
      <c r="C204" s="13" t="n"/>
      <c r="D204" s="11" t="n"/>
      <c r="E204" s="14" t="n"/>
      <c r="F204" s="8">
        <f>IF($D204="","",IF(OR($D204="Licenza - settimana intera",$D204="Attività esterna - settimana intera"),"NO - non recuperabile","SI - settimana successiva"))</f>
        <v/>
      </c>
      <c r="G204" s="11" t="n"/>
    </row>
  </sheetData>
  <autoFilter ref="A4:G204"/>
  <mergeCells count="2">
    <mergeCell ref="A2:G2"/>
    <mergeCell ref="A1:G1"/>
  </mergeCells>
  <dataValidations count="3">
    <dataValidation sqref="A5:A204" showDropDown="0" showInputMessage="0" showErrorMessage="1" allowBlank="1" error="Indicare un numero di settimana compreso nel periodo del servizio." type="list">
      <formula1>"1,2,3,4,5,6,7,8,9,10,11,12,13"</formula1>
    </dataValidation>
    <dataValidation sqref="C5:C204" showDropDown="0" showInputMessage="0" showErrorMessage="1" allowBlank="1" error="Selezionare un partecipante dall'elenco." type="list">
      <formula1>=Partecipanti!$B$5:$B$9</formula1>
    </dataValidation>
    <dataValidation sqref="D5:D204" showDropDown="0" showInputMessage="0" showErrorMessage="1" allowBlank="1" error="Selezionare un tipo di assenza dall'elenco." type="list">
      <formula1>"Licenza - settimana intera,Attività esterna - settimana intera,Altro motivo"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7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6" customWidth="1" min="4" max="4"/>
    <col width="26" customWidth="1" min="5" max="5"/>
    <col width="20" customWidth="1" min="6" max="6"/>
    <col width="26" customWidth="1" min="7" max="7"/>
    <col width="20" customWidth="1" min="8" max="8"/>
    <col width="62" customWidth="1" min="9" max="9"/>
    <col width="30" customWidth="1" min="10" max="10"/>
  </cols>
  <sheetData>
    <row r="1" ht="26" customHeight="1">
      <c r="A1" s="1" t="inlineStr">
        <is>
          <t>CALENDARIO DELLA TURNAZIONE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7" customHeight="1">
      <c r="A2" s="3" t="inlineStr">
        <is>
          <t>Trinitapoli → Foggia → Trinitapoli · 28/09/2026 – 25/12/2026 · calcolo automatico dal foglio «Assenze»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2" t="inlineStr">
        <is>
          <t>Le colonne da D a I sono calcolate automaticamente. Compilare a mano solo la colonna «Note».</t>
        </is>
      </c>
    </row>
    <row r="5" ht="30" customHeight="1">
      <c r="A5" s="7" t="inlineStr">
        <is>
          <t>Sett.</t>
        </is>
      </c>
      <c r="B5" s="7" t="inlineStr">
        <is>
          <t>Data</t>
        </is>
      </c>
      <c r="C5" s="7" t="inlineStr">
        <is>
          <t>Giorno</t>
        </is>
      </c>
      <c r="D5" s="7" t="inlineStr">
        <is>
          <t>Turno previsto</t>
        </is>
      </c>
      <c r="E5" s="7" t="inlineStr">
        <is>
          <t>Stato del titolare</t>
        </is>
      </c>
      <c r="F5" s="7" t="inlineStr">
        <is>
          <t>Conducente effettivo</t>
        </is>
      </c>
      <c r="G5" s="7" t="inlineStr">
        <is>
          <t>Tipo di turno</t>
        </is>
      </c>
      <c r="H5" s="7" t="inlineStr">
        <is>
          <t>Non guida (a riposo)</t>
        </is>
      </c>
      <c r="I5" s="7" t="inlineStr">
        <is>
          <t>Motivo della variazione</t>
        </is>
      </c>
      <c r="J5" s="7" t="inlineStr">
        <is>
          <t>Note</t>
        </is>
      </c>
    </row>
    <row r="6" ht="16" customHeight="1">
      <c r="A6" s="8" t="n">
        <v>1</v>
      </c>
      <c r="B6" s="15">
        <f>Calcoli!$B6</f>
        <v/>
      </c>
      <c r="C6" s="8" t="inlineStr">
        <is>
          <t>Lunedì</t>
        </is>
      </c>
      <c r="D6" s="8">
        <f>Calcoli!$C6</f>
        <v/>
      </c>
      <c r="E6" s="8">
        <f>IF(Calcoli!$E6=0,"Presente",Calcoli!$D6)</f>
        <v/>
      </c>
      <c r="F6" s="16">
        <f>Calcoli!$U6</f>
        <v/>
      </c>
      <c r="G6" s="8">
        <f>Calcoli!$V6</f>
        <v/>
      </c>
      <c r="H6" s="8">
        <f>Calcoli!$W6</f>
        <v/>
      </c>
      <c r="I6" s="6">
        <f>Calcoli!$X6</f>
        <v/>
      </c>
      <c r="J6" s="17" t="n"/>
    </row>
    <row r="7" ht="16" customHeight="1">
      <c r="A7" s="8" t="n">
        <v>1</v>
      </c>
      <c r="B7" s="15">
        <f>Calcoli!$B7</f>
        <v/>
      </c>
      <c r="C7" s="8" t="inlineStr">
        <is>
          <t>Martedì</t>
        </is>
      </c>
      <c r="D7" s="8">
        <f>Calcoli!$C7</f>
        <v/>
      </c>
      <c r="E7" s="8">
        <f>IF(Calcoli!$E7=0,"Presente",Calcoli!$D7)</f>
        <v/>
      </c>
      <c r="F7" s="16">
        <f>Calcoli!$U7</f>
        <v/>
      </c>
      <c r="G7" s="8">
        <f>Calcoli!$V7</f>
        <v/>
      </c>
      <c r="H7" s="8">
        <f>Calcoli!$W7</f>
        <v/>
      </c>
      <c r="I7" s="6">
        <f>Calcoli!$X7</f>
        <v/>
      </c>
      <c r="J7" s="17" t="n"/>
    </row>
    <row r="8" ht="16" customHeight="1">
      <c r="A8" s="8" t="n">
        <v>1</v>
      </c>
      <c r="B8" s="15">
        <f>Calcoli!$B8</f>
        <v/>
      </c>
      <c r="C8" s="8" t="inlineStr">
        <is>
          <t>Mercoledì</t>
        </is>
      </c>
      <c r="D8" s="8">
        <f>Calcoli!$C8</f>
        <v/>
      </c>
      <c r="E8" s="8">
        <f>IF(Calcoli!$E8=0,"Presente",Calcoli!$D8)</f>
        <v/>
      </c>
      <c r="F8" s="16">
        <f>Calcoli!$U8</f>
        <v/>
      </c>
      <c r="G8" s="8">
        <f>Calcoli!$V8</f>
        <v/>
      </c>
      <c r="H8" s="8">
        <f>Calcoli!$W8</f>
        <v/>
      </c>
      <c r="I8" s="6">
        <f>Calcoli!$X8</f>
        <v/>
      </c>
      <c r="J8" s="17" t="n"/>
    </row>
    <row r="9" ht="16" customHeight="1">
      <c r="A9" s="8" t="n">
        <v>1</v>
      </c>
      <c r="B9" s="15">
        <f>Calcoli!$B9</f>
        <v/>
      </c>
      <c r="C9" s="8" t="inlineStr">
        <is>
          <t>Giovedì</t>
        </is>
      </c>
      <c r="D9" s="8">
        <f>Calcoli!$C9</f>
        <v/>
      </c>
      <c r="E9" s="8">
        <f>IF(Calcoli!$E9=0,"Presente",Calcoli!$D9)</f>
        <v/>
      </c>
      <c r="F9" s="16">
        <f>Calcoli!$U9</f>
        <v/>
      </c>
      <c r="G9" s="8">
        <f>Calcoli!$V9</f>
        <v/>
      </c>
      <c r="H9" s="8">
        <f>Calcoli!$W9</f>
        <v/>
      </c>
      <c r="I9" s="6">
        <f>Calcoli!$X9</f>
        <v/>
      </c>
      <c r="J9" s="17" t="n"/>
    </row>
    <row r="10" ht="16" customHeight="1">
      <c r="A10" s="18" t="n">
        <v>1</v>
      </c>
      <c r="B10" s="19">
        <f>Calcoli!$B10</f>
        <v/>
      </c>
      <c r="C10" s="18" t="inlineStr">
        <is>
          <t>Venerdì</t>
        </is>
      </c>
      <c r="D10" s="18">
        <f>Calcoli!$C10</f>
        <v/>
      </c>
      <c r="E10" s="18">
        <f>IF(Calcoli!$E10=0,"Presente",Calcoli!$D10)</f>
        <v/>
      </c>
      <c r="F10" s="20">
        <f>Calcoli!$U10</f>
        <v/>
      </c>
      <c r="G10" s="18">
        <f>Calcoli!$V10</f>
        <v/>
      </c>
      <c r="H10" s="18">
        <f>Calcoli!$W10</f>
        <v/>
      </c>
      <c r="I10" s="21">
        <f>Calcoli!$X10</f>
        <v/>
      </c>
      <c r="J10" s="22" t="n"/>
    </row>
    <row r="11" ht="16" customHeight="1">
      <c r="A11" s="23" t="n">
        <v>2</v>
      </c>
      <c r="B11" s="24">
        <f>Calcoli!$B11</f>
        <v/>
      </c>
      <c r="C11" s="23" t="inlineStr">
        <is>
          <t>Lunedì</t>
        </is>
      </c>
      <c r="D11" s="23">
        <f>Calcoli!$C11</f>
        <v/>
      </c>
      <c r="E11" s="23">
        <f>IF(Calcoli!$E11=0,"Presente",Calcoli!$D11)</f>
        <v/>
      </c>
      <c r="F11" s="25">
        <f>Calcoli!$U11</f>
        <v/>
      </c>
      <c r="G11" s="23">
        <f>Calcoli!$V11</f>
        <v/>
      </c>
      <c r="H11" s="23">
        <f>Calcoli!$W11</f>
        <v/>
      </c>
      <c r="I11" s="26">
        <f>Calcoli!$X11</f>
        <v/>
      </c>
      <c r="J11" s="17" t="n"/>
    </row>
    <row r="12" ht="16" customHeight="1">
      <c r="A12" s="23" t="n">
        <v>2</v>
      </c>
      <c r="B12" s="24">
        <f>Calcoli!$B12</f>
        <v/>
      </c>
      <c r="C12" s="23" t="inlineStr">
        <is>
          <t>Martedì</t>
        </is>
      </c>
      <c r="D12" s="23">
        <f>Calcoli!$C12</f>
        <v/>
      </c>
      <c r="E12" s="23">
        <f>IF(Calcoli!$E12=0,"Presente",Calcoli!$D12)</f>
        <v/>
      </c>
      <c r="F12" s="25">
        <f>Calcoli!$U12</f>
        <v/>
      </c>
      <c r="G12" s="23">
        <f>Calcoli!$V12</f>
        <v/>
      </c>
      <c r="H12" s="23">
        <f>Calcoli!$W12</f>
        <v/>
      </c>
      <c r="I12" s="26">
        <f>Calcoli!$X12</f>
        <v/>
      </c>
      <c r="J12" s="17" t="n"/>
    </row>
    <row r="13" ht="16" customHeight="1">
      <c r="A13" s="23" t="n">
        <v>2</v>
      </c>
      <c r="B13" s="24">
        <f>Calcoli!$B13</f>
        <v/>
      </c>
      <c r="C13" s="23" t="inlineStr">
        <is>
          <t>Mercoledì</t>
        </is>
      </c>
      <c r="D13" s="23">
        <f>Calcoli!$C13</f>
        <v/>
      </c>
      <c r="E13" s="23">
        <f>IF(Calcoli!$E13=0,"Presente",Calcoli!$D13)</f>
        <v/>
      </c>
      <c r="F13" s="25">
        <f>Calcoli!$U13</f>
        <v/>
      </c>
      <c r="G13" s="23">
        <f>Calcoli!$V13</f>
        <v/>
      </c>
      <c r="H13" s="23">
        <f>Calcoli!$W13</f>
        <v/>
      </c>
      <c r="I13" s="26">
        <f>Calcoli!$X13</f>
        <v/>
      </c>
      <c r="J13" s="17" t="n"/>
    </row>
    <row r="14" ht="16" customHeight="1">
      <c r="A14" s="23" t="n">
        <v>2</v>
      </c>
      <c r="B14" s="24">
        <f>Calcoli!$B14</f>
        <v/>
      </c>
      <c r="C14" s="23" t="inlineStr">
        <is>
          <t>Giovedì</t>
        </is>
      </c>
      <c r="D14" s="23">
        <f>Calcoli!$C14</f>
        <v/>
      </c>
      <c r="E14" s="23">
        <f>IF(Calcoli!$E14=0,"Presente",Calcoli!$D14)</f>
        <v/>
      </c>
      <c r="F14" s="25">
        <f>Calcoli!$U14</f>
        <v/>
      </c>
      <c r="G14" s="23">
        <f>Calcoli!$V14</f>
        <v/>
      </c>
      <c r="H14" s="23">
        <f>Calcoli!$W14</f>
        <v/>
      </c>
      <c r="I14" s="26">
        <f>Calcoli!$X14</f>
        <v/>
      </c>
      <c r="J14" s="17" t="n"/>
    </row>
    <row r="15" ht="16" customHeight="1">
      <c r="A15" s="27" t="n">
        <v>2</v>
      </c>
      <c r="B15" s="28">
        <f>Calcoli!$B15</f>
        <v/>
      </c>
      <c r="C15" s="27" t="inlineStr">
        <is>
          <t>Venerdì</t>
        </is>
      </c>
      <c r="D15" s="27">
        <f>Calcoli!$C15</f>
        <v/>
      </c>
      <c r="E15" s="27">
        <f>IF(Calcoli!$E15=0,"Presente",Calcoli!$D15)</f>
        <v/>
      </c>
      <c r="F15" s="29">
        <f>Calcoli!$U15</f>
        <v/>
      </c>
      <c r="G15" s="27">
        <f>Calcoli!$V15</f>
        <v/>
      </c>
      <c r="H15" s="27">
        <f>Calcoli!$W15</f>
        <v/>
      </c>
      <c r="I15" s="30">
        <f>Calcoli!$X15</f>
        <v/>
      </c>
      <c r="J15" s="22" t="n"/>
    </row>
    <row r="16" ht="16" customHeight="1">
      <c r="A16" s="8" t="n">
        <v>3</v>
      </c>
      <c r="B16" s="15">
        <f>Calcoli!$B16</f>
        <v/>
      </c>
      <c r="C16" s="8" t="inlineStr">
        <is>
          <t>Lunedì</t>
        </is>
      </c>
      <c r="D16" s="8">
        <f>Calcoli!$C16</f>
        <v/>
      </c>
      <c r="E16" s="8">
        <f>IF(Calcoli!$E16=0,"Presente",Calcoli!$D16)</f>
        <v/>
      </c>
      <c r="F16" s="16">
        <f>Calcoli!$U16</f>
        <v/>
      </c>
      <c r="G16" s="8">
        <f>Calcoli!$V16</f>
        <v/>
      </c>
      <c r="H16" s="8">
        <f>Calcoli!$W16</f>
        <v/>
      </c>
      <c r="I16" s="6">
        <f>Calcoli!$X16</f>
        <v/>
      </c>
      <c r="J16" s="17" t="n"/>
    </row>
    <row r="17" ht="16" customHeight="1">
      <c r="A17" s="8" t="n">
        <v>3</v>
      </c>
      <c r="B17" s="15">
        <f>Calcoli!$B17</f>
        <v/>
      </c>
      <c r="C17" s="8" t="inlineStr">
        <is>
          <t>Martedì</t>
        </is>
      </c>
      <c r="D17" s="8">
        <f>Calcoli!$C17</f>
        <v/>
      </c>
      <c r="E17" s="8">
        <f>IF(Calcoli!$E17=0,"Presente",Calcoli!$D17)</f>
        <v/>
      </c>
      <c r="F17" s="16">
        <f>Calcoli!$U17</f>
        <v/>
      </c>
      <c r="G17" s="8">
        <f>Calcoli!$V17</f>
        <v/>
      </c>
      <c r="H17" s="8">
        <f>Calcoli!$W17</f>
        <v/>
      </c>
      <c r="I17" s="6">
        <f>Calcoli!$X17</f>
        <v/>
      </c>
      <c r="J17" s="17" t="n"/>
    </row>
    <row r="18" ht="16" customHeight="1">
      <c r="A18" s="8" t="n">
        <v>3</v>
      </c>
      <c r="B18" s="15">
        <f>Calcoli!$B18</f>
        <v/>
      </c>
      <c r="C18" s="8" t="inlineStr">
        <is>
          <t>Mercoledì</t>
        </is>
      </c>
      <c r="D18" s="8">
        <f>Calcoli!$C18</f>
        <v/>
      </c>
      <c r="E18" s="8">
        <f>IF(Calcoli!$E18=0,"Presente",Calcoli!$D18)</f>
        <v/>
      </c>
      <c r="F18" s="16">
        <f>Calcoli!$U18</f>
        <v/>
      </c>
      <c r="G18" s="8">
        <f>Calcoli!$V18</f>
        <v/>
      </c>
      <c r="H18" s="8">
        <f>Calcoli!$W18</f>
        <v/>
      </c>
      <c r="I18" s="6">
        <f>Calcoli!$X18</f>
        <v/>
      </c>
      <c r="J18" s="17" t="n"/>
    </row>
    <row r="19" ht="16" customHeight="1">
      <c r="A19" s="8" t="n">
        <v>3</v>
      </c>
      <c r="B19" s="15">
        <f>Calcoli!$B19</f>
        <v/>
      </c>
      <c r="C19" s="8" t="inlineStr">
        <is>
          <t>Giovedì</t>
        </is>
      </c>
      <c r="D19" s="8">
        <f>Calcoli!$C19</f>
        <v/>
      </c>
      <c r="E19" s="8">
        <f>IF(Calcoli!$E19=0,"Presente",Calcoli!$D19)</f>
        <v/>
      </c>
      <c r="F19" s="16">
        <f>Calcoli!$U19</f>
        <v/>
      </c>
      <c r="G19" s="8">
        <f>Calcoli!$V19</f>
        <v/>
      </c>
      <c r="H19" s="8">
        <f>Calcoli!$W19</f>
        <v/>
      </c>
      <c r="I19" s="6">
        <f>Calcoli!$X19</f>
        <v/>
      </c>
      <c r="J19" s="17" t="n"/>
    </row>
    <row r="20" ht="16" customHeight="1">
      <c r="A20" s="18" t="n">
        <v>3</v>
      </c>
      <c r="B20" s="19">
        <f>Calcoli!$B20</f>
        <v/>
      </c>
      <c r="C20" s="18" t="inlineStr">
        <is>
          <t>Venerdì</t>
        </is>
      </c>
      <c r="D20" s="18">
        <f>Calcoli!$C20</f>
        <v/>
      </c>
      <c r="E20" s="18">
        <f>IF(Calcoli!$E20=0,"Presente",Calcoli!$D20)</f>
        <v/>
      </c>
      <c r="F20" s="20">
        <f>Calcoli!$U20</f>
        <v/>
      </c>
      <c r="G20" s="18">
        <f>Calcoli!$V20</f>
        <v/>
      </c>
      <c r="H20" s="18">
        <f>Calcoli!$W20</f>
        <v/>
      </c>
      <c r="I20" s="21">
        <f>Calcoli!$X20</f>
        <v/>
      </c>
      <c r="J20" s="22" t="n"/>
    </row>
    <row r="21" ht="16" customHeight="1">
      <c r="A21" s="23" t="n">
        <v>4</v>
      </c>
      <c r="B21" s="24">
        <f>Calcoli!$B21</f>
        <v/>
      </c>
      <c r="C21" s="23" t="inlineStr">
        <is>
          <t>Lunedì</t>
        </is>
      </c>
      <c r="D21" s="23">
        <f>Calcoli!$C21</f>
        <v/>
      </c>
      <c r="E21" s="23">
        <f>IF(Calcoli!$E21=0,"Presente",Calcoli!$D21)</f>
        <v/>
      </c>
      <c r="F21" s="25">
        <f>Calcoli!$U21</f>
        <v/>
      </c>
      <c r="G21" s="23">
        <f>Calcoli!$V21</f>
        <v/>
      </c>
      <c r="H21" s="23">
        <f>Calcoli!$W21</f>
        <v/>
      </c>
      <c r="I21" s="26">
        <f>Calcoli!$X21</f>
        <v/>
      </c>
      <c r="J21" s="17" t="n"/>
    </row>
    <row r="22" ht="16" customHeight="1">
      <c r="A22" s="23" t="n">
        <v>4</v>
      </c>
      <c r="B22" s="24">
        <f>Calcoli!$B22</f>
        <v/>
      </c>
      <c r="C22" s="23" t="inlineStr">
        <is>
          <t>Martedì</t>
        </is>
      </c>
      <c r="D22" s="23">
        <f>Calcoli!$C22</f>
        <v/>
      </c>
      <c r="E22" s="23">
        <f>IF(Calcoli!$E22=0,"Presente",Calcoli!$D22)</f>
        <v/>
      </c>
      <c r="F22" s="25">
        <f>Calcoli!$U22</f>
        <v/>
      </c>
      <c r="G22" s="23">
        <f>Calcoli!$V22</f>
        <v/>
      </c>
      <c r="H22" s="23">
        <f>Calcoli!$W22</f>
        <v/>
      </c>
      <c r="I22" s="26">
        <f>Calcoli!$X22</f>
        <v/>
      </c>
      <c r="J22" s="17" t="n"/>
    </row>
    <row r="23" ht="16" customHeight="1">
      <c r="A23" s="23" t="n">
        <v>4</v>
      </c>
      <c r="B23" s="24">
        <f>Calcoli!$B23</f>
        <v/>
      </c>
      <c r="C23" s="23" t="inlineStr">
        <is>
          <t>Mercoledì</t>
        </is>
      </c>
      <c r="D23" s="23">
        <f>Calcoli!$C23</f>
        <v/>
      </c>
      <c r="E23" s="23">
        <f>IF(Calcoli!$E23=0,"Presente",Calcoli!$D23)</f>
        <v/>
      </c>
      <c r="F23" s="25">
        <f>Calcoli!$U23</f>
        <v/>
      </c>
      <c r="G23" s="23">
        <f>Calcoli!$V23</f>
        <v/>
      </c>
      <c r="H23" s="23">
        <f>Calcoli!$W23</f>
        <v/>
      </c>
      <c r="I23" s="26">
        <f>Calcoli!$X23</f>
        <v/>
      </c>
      <c r="J23" s="17" t="n"/>
    </row>
    <row r="24" ht="16" customHeight="1">
      <c r="A24" s="23" t="n">
        <v>4</v>
      </c>
      <c r="B24" s="24">
        <f>Calcoli!$B24</f>
        <v/>
      </c>
      <c r="C24" s="23" t="inlineStr">
        <is>
          <t>Giovedì</t>
        </is>
      </c>
      <c r="D24" s="23">
        <f>Calcoli!$C24</f>
        <v/>
      </c>
      <c r="E24" s="23">
        <f>IF(Calcoli!$E24=0,"Presente",Calcoli!$D24)</f>
        <v/>
      </c>
      <c r="F24" s="25">
        <f>Calcoli!$U24</f>
        <v/>
      </c>
      <c r="G24" s="23">
        <f>Calcoli!$V24</f>
        <v/>
      </c>
      <c r="H24" s="23">
        <f>Calcoli!$W24</f>
        <v/>
      </c>
      <c r="I24" s="26">
        <f>Calcoli!$X24</f>
        <v/>
      </c>
      <c r="J24" s="17" t="n"/>
    </row>
    <row r="25" ht="16" customHeight="1">
      <c r="A25" s="27" t="n">
        <v>4</v>
      </c>
      <c r="B25" s="28">
        <f>Calcoli!$B25</f>
        <v/>
      </c>
      <c r="C25" s="27" t="inlineStr">
        <is>
          <t>Venerdì</t>
        </is>
      </c>
      <c r="D25" s="27">
        <f>Calcoli!$C25</f>
        <v/>
      </c>
      <c r="E25" s="27">
        <f>IF(Calcoli!$E25=0,"Presente",Calcoli!$D25)</f>
        <v/>
      </c>
      <c r="F25" s="29">
        <f>Calcoli!$U25</f>
        <v/>
      </c>
      <c r="G25" s="27">
        <f>Calcoli!$V25</f>
        <v/>
      </c>
      <c r="H25" s="27">
        <f>Calcoli!$W25</f>
        <v/>
      </c>
      <c r="I25" s="30">
        <f>Calcoli!$X25</f>
        <v/>
      </c>
      <c r="J25" s="22" t="n"/>
    </row>
    <row r="26" ht="16" customHeight="1">
      <c r="A26" s="8" t="n">
        <v>5</v>
      </c>
      <c r="B26" s="15">
        <f>Calcoli!$B26</f>
        <v/>
      </c>
      <c r="C26" s="8" t="inlineStr">
        <is>
          <t>Lunedì</t>
        </is>
      </c>
      <c r="D26" s="8">
        <f>Calcoli!$C26</f>
        <v/>
      </c>
      <c r="E26" s="8">
        <f>IF(Calcoli!$E26=0,"Presente",Calcoli!$D26)</f>
        <v/>
      </c>
      <c r="F26" s="16">
        <f>Calcoli!$U26</f>
        <v/>
      </c>
      <c r="G26" s="8">
        <f>Calcoli!$V26</f>
        <v/>
      </c>
      <c r="H26" s="8">
        <f>Calcoli!$W26</f>
        <v/>
      </c>
      <c r="I26" s="6">
        <f>Calcoli!$X26</f>
        <v/>
      </c>
      <c r="J26" s="17" t="n"/>
    </row>
    <row r="27" ht="16" customHeight="1">
      <c r="A27" s="8" t="n">
        <v>5</v>
      </c>
      <c r="B27" s="15">
        <f>Calcoli!$B27</f>
        <v/>
      </c>
      <c r="C27" s="8" t="inlineStr">
        <is>
          <t>Martedì</t>
        </is>
      </c>
      <c r="D27" s="8">
        <f>Calcoli!$C27</f>
        <v/>
      </c>
      <c r="E27" s="8">
        <f>IF(Calcoli!$E27=0,"Presente",Calcoli!$D27)</f>
        <v/>
      </c>
      <c r="F27" s="16">
        <f>Calcoli!$U27</f>
        <v/>
      </c>
      <c r="G27" s="8">
        <f>Calcoli!$V27</f>
        <v/>
      </c>
      <c r="H27" s="8">
        <f>Calcoli!$W27</f>
        <v/>
      </c>
      <c r="I27" s="6">
        <f>Calcoli!$X27</f>
        <v/>
      </c>
      <c r="J27" s="17" t="n"/>
    </row>
    <row r="28" ht="16" customHeight="1">
      <c r="A28" s="8" t="n">
        <v>5</v>
      </c>
      <c r="B28" s="15">
        <f>Calcoli!$B28</f>
        <v/>
      </c>
      <c r="C28" s="8" t="inlineStr">
        <is>
          <t>Mercoledì</t>
        </is>
      </c>
      <c r="D28" s="8">
        <f>Calcoli!$C28</f>
        <v/>
      </c>
      <c r="E28" s="8">
        <f>IF(Calcoli!$E28=0,"Presente",Calcoli!$D28)</f>
        <v/>
      </c>
      <c r="F28" s="16">
        <f>Calcoli!$U28</f>
        <v/>
      </c>
      <c r="G28" s="8">
        <f>Calcoli!$V28</f>
        <v/>
      </c>
      <c r="H28" s="8">
        <f>Calcoli!$W28</f>
        <v/>
      </c>
      <c r="I28" s="6">
        <f>Calcoli!$X28</f>
        <v/>
      </c>
      <c r="J28" s="17" t="n"/>
    </row>
    <row r="29" ht="16" customHeight="1">
      <c r="A29" s="8" t="n">
        <v>5</v>
      </c>
      <c r="B29" s="15">
        <f>Calcoli!$B29</f>
        <v/>
      </c>
      <c r="C29" s="8" t="inlineStr">
        <is>
          <t>Giovedì</t>
        </is>
      </c>
      <c r="D29" s="8">
        <f>Calcoli!$C29</f>
        <v/>
      </c>
      <c r="E29" s="8">
        <f>IF(Calcoli!$E29=0,"Presente",Calcoli!$D29)</f>
        <v/>
      </c>
      <c r="F29" s="16">
        <f>Calcoli!$U29</f>
        <v/>
      </c>
      <c r="G29" s="8">
        <f>Calcoli!$V29</f>
        <v/>
      </c>
      <c r="H29" s="8">
        <f>Calcoli!$W29</f>
        <v/>
      </c>
      <c r="I29" s="6">
        <f>Calcoli!$X29</f>
        <v/>
      </c>
      <c r="J29" s="17" t="n"/>
    </row>
    <row r="30" ht="16" customHeight="1">
      <c r="A30" s="18" t="n">
        <v>5</v>
      </c>
      <c r="B30" s="19">
        <f>Calcoli!$B30</f>
        <v/>
      </c>
      <c r="C30" s="18" t="inlineStr">
        <is>
          <t>Venerdì</t>
        </is>
      </c>
      <c r="D30" s="18">
        <f>Calcoli!$C30</f>
        <v/>
      </c>
      <c r="E30" s="18">
        <f>IF(Calcoli!$E30=0,"Presente",Calcoli!$D30)</f>
        <v/>
      </c>
      <c r="F30" s="20">
        <f>Calcoli!$U30</f>
        <v/>
      </c>
      <c r="G30" s="18">
        <f>Calcoli!$V30</f>
        <v/>
      </c>
      <c r="H30" s="18">
        <f>Calcoli!$W30</f>
        <v/>
      </c>
      <c r="I30" s="21">
        <f>Calcoli!$X30</f>
        <v/>
      </c>
      <c r="J30" s="22" t="n"/>
    </row>
    <row r="31" ht="16" customHeight="1">
      <c r="A31" s="23" t="n">
        <v>6</v>
      </c>
      <c r="B31" s="24">
        <f>Calcoli!$B31</f>
        <v/>
      </c>
      <c r="C31" s="23" t="inlineStr">
        <is>
          <t>Lunedì</t>
        </is>
      </c>
      <c r="D31" s="23">
        <f>Calcoli!$C31</f>
        <v/>
      </c>
      <c r="E31" s="23">
        <f>IF(Calcoli!$E31=0,"Presente",Calcoli!$D31)</f>
        <v/>
      </c>
      <c r="F31" s="25">
        <f>Calcoli!$U31</f>
        <v/>
      </c>
      <c r="G31" s="23">
        <f>Calcoli!$V31</f>
        <v/>
      </c>
      <c r="H31" s="23">
        <f>Calcoli!$W31</f>
        <v/>
      </c>
      <c r="I31" s="26">
        <f>Calcoli!$X31</f>
        <v/>
      </c>
      <c r="J31" s="17" t="n"/>
    </row>
    <row r="32" ht="16" customHeight="1">
      <c r="A32" s="23" t="n">
        <v>6</v>
      </c>
      <c r="B32" s="24">
        <f>Calcoli!$B32</f>
        <v/>
      </c>
      <c r="C32" s="23" t="inlineStr">
        <is>
          <t>Martedì</t>
        </is>
      </c>
      <c r="D32" s="23">
        <f>Calcoli!$C32</f>
        <v/>
      </c>
      <c r="E32" s="23">
        <f>IF(Calcoli!$E32=0,"Presente",Calcoli!$D32)</f>
        <v/>
      </c>
      <c r="F32" s="25">
        <f>Calcoli!$U32</f>
        <v/>
      </c>
      <c r="G32" s="23">
        <f>Calcoli!$V32</f>
        <v/>
      </c>
      <c r="H32" s="23">
        <f>Calcoli!$W32</f>
        <v/>
      </c>
      <c r="I32" s="26">
        <f>Calcoli!$X32</f>
        <v/>
      </c>
      <c r="J32" s="17" t="n"/>
    </row>
    <row r="33" ht="16" customHeight="1">
      <c r="A33" s="23" t="n">
        <v>6</v>
      </c>
      <c r="B33" s="24">
        <f>Calcoli!$B33</f>
        <v/>
      </c>
      <c r="C33" s="23" t="inlineStr">
        <is>
          <t>Mercoledì</t>
        </is>
      </c>
      <c r="D33" s="23">
        <f>Calcoli!$C33</f>
        <v/>
      </c>
      <c r="E33" s="23">
        <f>IF(Calcoli!$E33=0,"Presente",Calcoli!$D33)</f>
        <v/>
      </c>
      <c r="F33" s="25">
        <f>Calcoli!$U33</f>
        <v/>
      </c>
      <c r="G33" s="23">
        <f>Calcoli!$V33</f>
        <v/>
      </c>
      <c r="H33" s="23">
        <f>Calcoli!$W33</f>
        <v/>
      </c>
      <c r="I33" s="26">
        <f>Calcoli!$X33</f>
        <v/>
      </c>
      <c r="J33" s="17" t="n"/>
    </row>
    <row r="34" ht="16" customHeight="1">
      <c r="A34" s="23" t="n">
        <v>6</v>
      </c>
      <c r="B34" s="24">
        <f>Calcoli!$B34</f>
        <v/>
      </c>
      <c r="C34" s="23" t="inlineStr">
        <is>
          <t>Giovedì</t>
        </is>
      </c>
      <c r="D34" s="23">
        <f>Calcoli!$C34</f>
        <v/>
      </c>
      <c r="E34" s="23">
        <f>IF(Calcoli!$E34=0,"Presente",Calcoli!$D34)</f>
        <v/>
      </c>
      <c r="F34" s="25">
        <f>Calcoli!$U34</f>
        <v/>
      </c>
      <c r="G34" s="23">
        <f>Calcoli!$V34</f>
        <v/>
      </c>
      <c r="H34" s="23">
        <f>Calcoli!$W34</f>
        <v/>
      </c>
      <c r="I34" s="26">
        <f>Calcoli!$X34</f>
        <v/>
      </c>
      <c r="J34" s="17" t="n"/>
    </row>
    <row r="35" ht="16" customHeight="1">
      <c r="A35" s="27" t="n">
        <v>6</v>
      </c>
      <c r="B35" s="28">
        <f>Calcoli!$B35</f>
        <v/>
      </c>
      <c r="C35" s="27" t="inlineStr">
        <is>
          <t>Venerdì</t>
        </is>
      </c>
      <c r="D35" s="27">
        <f>Calcoli!$C35</f>
        <v/>
      </c>
      <c r="E35" s="27">
        <f>IF(Calcoli!$E35=0,"Presente",Calcoli!$D35)</f>
        <v/>
      </c>
      <c r="F35" s="29">
        <f>Calcoli!$U35</f>
        <v/>
      </c>
      <c r="G35" s="27">
        <f>Calcoli!$V35</f>
        <v/>
      </c>
      <c r="H35" s="27">
        <f>Calcoli!$W35</f>
        <v/>
      </c>
      <c r="I35" s="30">
        <f>Calcoli!$X35</f>
        <v/>
      </c>
      <c r="J35" s="22" t="n"/>
    </row>
    <row r="36" ht="16" customHeight="1">
      <c r="A36" s="8" t="n">
        <v>7</v>
      </c>
      <c r="B36" s="15">
        <f>Calcoli!$B36</f>
        <v/>
      </c>
      <c r="C36" s="8" t="inlineStr">
        <is>
          <t>Lunedì</t>
        </is>
      </c>
      <c r="D36" s="8">
        <f>Calcoli!$C36</f>
        <v/>
      </c>
      <c r="E36" s="8">
        <f>IF(Calcoli!$E36=0,"Presente",Calcoli!$D36)</f>
        <v/>
      </c>
      <c r="F36" s="16">
        <f>Calcoli!$U36</f>
        <v/>
      </c>
      <c r="G36" s="8">
        <f>Calcoli!$V36</f>
        <v/>
      </c>
      <c r="H36" s="8">
        <f>Calcoli!$W36</f>
        <v/>
      </c>
      <c r="I36" s="6">
        <f>Calcoli!$X36</f>
        <v/>
      </c>
      <c r="J36" s="17" t="n"/>
    </row>
    <row r="37" ht="16" customHeight="1">
      <c r="A37" s="8" t="n">
        <v>7</v>
      </c>
      <c r="B37" s="15">
        <f>Calcoli!$B37</f>
        <v/>
      </c>
      <c r="C37" s="8" t="inlineStr">
        <is>
          <t>Martedì</t>
        </is>
      </c>
      <c r="D37" s="8">
        <f>Calcoli!$C37</f>
        <v/>
      </c>
      <c r="E37" s="8">
        <f>IF(Calcoli!$E37=0,"Presente",Calcoli!$D37)</f>
        <v/>
      </c>
      <c r="F37" s="16">
        <f>Calcoli!$U37</f>
        <v/>
      </c>
      <c r="G37" s="8">
        <f>Calcoli!$V37</f>
        <v/>
      </c>
      <c r="H37" s="8">
        <f>Calcoli!$W37</f>
        <v/>
      </c>
      <c r="I37" s="6">
        <f>Calcoli!$X37</f>
        <v/>
      </c>
      <c r="J37" s="17" t="n"/>
    </row>
    <row r="38" ht="16" customHeight="1">
      <c r="A38" s="8" t="n">
        <v>7</v>
      </c>
      <c r="B38" s="15">
        <f>Calcoli!$B38</f>
        <v/>
      </c>
      <c r="C38" s="8" t="inlineStr">
        <is>
          <t>Mercoledì</t>
        </is>
      </c>
      <c r="D38" s="8">
        <f>Calcoli!$C38</f>
        <v/>
      </c>
      <c r="E38" s="8">
        <f>IF(Calcoli!$E38=0,"Presente",Calcoli!$D38)</f>
        <v/>
      </c>
      <c r="F38" s="16">
        <f>Calcoli!$U38</f>
        <v/>
      </c>
      <c r="G38" s="8">
        <f>Calcoli!$V38</f>
        <v/>
      </c>
      <c r="H38" s="8">
        <f>Calcoli!$W38</f>
        <v/>
      </c>
      <c r="I38" s="6">
        <f>Calcoli!$X38</f>
        <v/>
      </c>
      <c r="J38" s="17" t="n"/>
    </row>
    <row r="39" ht="16" customHeight="1">
      <c r="A39" s="8" t="n">
        <v>7</v>
      </c>
      <c r="B39" s="15">
        <f>Calcoli!$B39</f>
        <v/>
      </c>
      <c r="C39" s="8" t="inlineStr">
        <is>
          <t>Giovedì</t>
        </is>
      </c>
      <c r="D39" s="8">
        <f>Calcoli!$C39</f>
        <v/>
      </c>
      <c r="E39" s="8">
        <f>IF(Calcoli!$E39=0,"Presente",Calcoli!$D39)</f>
        <v/>
      </c>
      <c r="F39" s="16">
        <f>Calcoli!$U39</f>
        <v/>
      </c>
      <c r="G39" s="8">
        <f>Calcoli!$V39</f>
        <v/>
      </c>
      <c r="H39" s="8">
        <f>Calcoli!$W39</f>
        <v/>
      </c>
      <c r="I39" s="6">
        <f>Calcoli!$X39</f>
        <v/>
      </c>
      <c r="J39" s="17" t="n"/>
    </row>
    <row r="40" ht="16" customHeight="1">
      <c r="A40" s="18" t="n">
        <v>7</v>
      </c>
      <c r="B40" s="19">
        <f>Calcoli!$B40</f>
        <v/>
      </c>
      <c r="C40" s="18" t="inlineStr">
        <is>
          <t>Venerdì</t>
        </is>
      </c>
      <c r="D40" s="18">
        <f>Calcoli!$C40</f>
        <v/>
      </c>
      <c r="E40" s="18">
        <f>IF(Calcoli!$E40=0,"Presente",Calcoli!$D40)</f>
        <v/>
      </c>
      <c r="F40" s="20">
        <f>Calcoli!$U40</f>
        <v/>
      </c>
      <c r="G40" s="18">
        <f>Calcoli!$V40</f>
        <v/>
      </c>
      <c r="H40" s="18">
        <f>Calcoli!$W40</f>
        <v/>
      </c>
      <c r="I40" s="21">
        <f>Calcoli!$X40</f>
        <v/>
      </c>
      <c r="J40" s="22" t="n"/>
    </row>
    <row r="41" ht="16" customHeight="1">
      <c r="A41" s="23" t="n">
        <v>8</v>
      </c>
      <c r="B41" s="24">
        <f>Calcoli!$B41</f>
        <v/>
      </c>
      <c r="C41" s="23" t="inlineStr">
        <is>
          <t>Lunedì</t>
        </is>
      </c>
      <c r="D41" s="23">
        <f>Calcoli!$C41</f>
        <v/>
      </c>
      <c r="E41" s="23">
        <f>IF(Calcoli!$E41=0,"Presente",Calcoli!$D41)</f>
        <v/>
      </c>
      <c r="F41" s="25">
        <f>Calcoli!$U41</f>
        <v/>
      </c>
      <c r="G41" s="23">
        <f>Calcoli!$V41</f>
        <v/>
      </c>
      <c r="H41" s="23">
        <f>Calcoli!$W41</f>
        <v/>
      </c>
      <c r="I41" s="26">
        <f>Calcoli!$X41</f>
        <v/>
      </c>
      <c r="J41" s="17" t="n"/>
    </row>
    <row r="42" ht="16" customHeight="1">
      <c r="A42" s="23" t="n">
        <v>8</v>
      </c>
      <c r="B42" s="24">
        <f>Calcoli!$B42</f>
        <v/>
      </c>
      <c r="C42" s="23" t="inlineStr">
        <is>
          <t>Martedì</t>
        </is>
      </c>
      <c r="D42" s="23">
        <f>Calcoli!$C42</f>
        <v/>
      </c>
      <c r="E42" s="23">
        <f>IF(Calcoli!$E42=0,"Presente",Calcoli!$D42)</f>
        <v/>
      </c>
      <c r="F42" s="25">
        <f>Calcoli!$U42</f>
        <v/>
      </c>
      <c r="G42" s="23">
        <f>Calcoli!$V42</f>
        <v/>
      </c>
      <c r="H42" s="23">
        <f>Calcoli!$W42</f>
        <v/>
      </c>
      <c r="I42" s="26">
        <f>Calcoli!$X42</f>
        <v/>
      </c>
      <c r="J42" s="17" t="n"/>
    </row>
    <row r="43" ht="16" customHeight="1">
      <c r="A43" s="23" t="n">
        <v>8</v>
      </c>
      <c r="B43" s="24">
        <f>Calcoli!$B43</f>
        <v/>
      </c>
      <c r="C43" s="23" t="inlineStr">
        <is>
          <t>Mercoledì</t>
        </is>
      </c>
      <c r="D43" s="23">
        <f>Calcoli!$C43</f>
        <v/>
      </c>
      <c r="E43" s="23">
        <f>IF(Calcoli!$E43=0,"Presente",Calcoli!$D43)</f>
        <v/>
      </c>
      <c r="F43" s="25">
        <f>Calcoli!$U43</f>
        <v/>
      </c>
      <c r="G43" s="23">
        <f>Calcoli!$V43</f>
        <v/>
      </c>
      <c r="H43" s="23">
        <f>Calcoli!$W43</f>
        <v/>
      </c>
      <c r="I43" s="26">
        <f>Calcoli!$X43</f>
        <v/>
      </c>
      <c r="J43" s="17" t="n"/>
    </row>
    <row r="44" ht="16" customHeight="1">
      <c r="A44" s="23" t="n">
        <v>8</v>
      </c>
      <c r="B44" s="24">
        <f>Calcoli!$B44</f>
        <v/>
      </c>
      <c r="C44" s="23" t="inlineStr">
        <is>
          <t>Giovedì</t>
        </is>
      </c>
      <c r="D44" s="23">
        <f>Calcoli!$C44</f>
        <v/>
      </c>
      <c r="E44" s="23">
        <f>IF(Calcoli!$E44=0,"Presente",Calcoli!$D44)</f>
        <v/>
      </c>
      <c r="F44" s="25">
        <f>Calcoli!$U44</f>
        <v/>
      </c>
      <c r="G44" s="23">
        <f>Calcoli!$V44</f>
        <v/>
      </c>
      <c r="H44" s="23">
        <f>Calcoli!$W44</f>
        <v/>
      </c>
      <c r="I44" s="26">
        <f>Calcoli!$X44</f>
        <v/>
      </c>
      <c r="J44" s="17" t="n"/>
    </row>
    <row r="45" ht="16" customHeight="1">
      <c r="A45" s="27" t="n">
        <v>8</v>
      </c>
      <c r="B45" s="28">
        <f>Calcoli!$B45</f>
        <v/>
      </c>
      <c r="C45" s="27" t="inlineStr">
        <is>
          <t>Venerdì</t>
        </is>
      </c>
      <c r="D45" s="27">
        <f>Calcoli!$C45</f>
        <v/>
      </c>
      <c r="E45" s="27">
        <f>IF(Calcoli!$E45=0,"Presente",Calcoli!$D45)</f>
        <v/>
      </c>
      <c r="F45" s="29">
        <f>Calcoli!$U45</f>
        <v/>
      </c>
      <c r="G45" s="27">
        <f>Calcoli!$V45</f>
        <v/>
      </c>
      <c r="H45" s="27">
        <f>Calcoli!$W45</f>
        <v/>
      </c>
      <c r="I45" s="30">
        <f>Calcoli!$X45</f>
        <v/>
      </c>
      <c r="J45" s="22" t="n"/>
    </row>
    <row r="46" ht="16" customHeight="1">
      <c r="A46" s="8" t="n">
        <v>9</v>
      </c>
      <c r="B46" s="15">
        <f>Calcoli!$B46</f>
        <v/>
      </c>
      <c r="C46" s="8" t="inlineStr">
        <is>
          <t>Lunedì</t>
        </is>
      </c>
      <c r="D46" s="8">
        <f>Calcoli!$C46</f>
        <v/>
      </c>
      <c r="E46" s="8">
        <f>IF(Calcoli!$E46=0,"Presente",Calcoli!$D46)</f>
        <v/>
      </c>
      <c r="F46" s="16">
        <f>Calcoli!$U46</f>
        <v/>
      </c>
      <c r="G46" s="8">
        <f>Calcoli!$V46</f>
        <v/>
      </c>
      <c r="H46" s="8">
        <f>Calcoli!$W46</f>
        <v/>
      </c>
      <c r="I46" s="6">
        <f>Calcoli!$X46</f>
        <v/>
      </c>
      <c r="J46" s="17" t="n"/>
    </row>
    <row r="47" ht="16" customHeight="1">
      <c r="A47" s="8" t="n">
        <v>9</v>
      </c>
      <c r="B47" s="15">
        <f>Calcoli!$B47</f>
        <v/>
      </c>
      <c r="C47" s="8" t="inlineStr">
        <is>
          <t>Martedì</t>
        </is>
      </c>
      <c r="D47" s="8">
        <f>Calcoli!$C47</f>
        <v/>
      </c>
      <c r="E47" s="8">
        <f>IF(Calcoli!$E47=0,"Presente",Calcoli!$D47)</f>
        <v/>
      </c>
      <c r="F47" s="16">
        <f>Calcoli!$U47</f>
        <v/>
      </c>
      <c r="G47" s="8">
        <f>Calcoli!$V47</f>
        <v/>
      </c>
      <c r="H47" s="8">
        <f>Calcoli!$W47</f>
        <v/>
      </c>
      <c r="I47" s="6">
        <f>Calcoli!$X47</f>
        <v/>
      </c>
      <c r="J47" s="17" t="n"/>
    </row>
    <row r="48" ht="16" customHeight="1">
      <c r="A48" s="8" t="n">
        <v>9</v>
      </c>
      <c r="B48" s="15">
        <f>Calcoli!$B48</f>
        <v/>
      </c>
      <c r="C48" s="8" t="inlineStr">
        <is>
          <t>Mercoledì</t>
        </is>
      </c>
      <c r="D48" s="8">
        <f>Calcoli!$C48</f>
        <v/>
      </c>
      <c r="E48" s="8">
        <f>IF(Calcoli!$E48=0,"Presente",Calcoli!$D48)</f>
        <v/>
      </c>
      <c r="F48" s="16">
        <f>Calcoli!$U48</f>
        <v/>
      </c>
      <c r="G48" s="8">
        <f>Calcoli!$V48</f>
        <v/>
      </c>
      <c r="H48" s="8">
        <f>Calcoli!$W48</f>
        <v/>
      </c>
      <c r="I48" s="6">
        <f>Calcoli!$X48</f>
        <v/>
      </c>
      <c r="J48" s="17" t="n"/>
    </row>
    <row r="49" ht="16" customHeight="1">
      <c r="A49" s="8" t="n">
        <v>9</v>
      </c>
      <c r="B49" s="15">
        <f>Calcoli!$B49</f>
        <v/>
      </c>
      <c r="C49" s="8" t="inlineStr">
        <is>
          <t>Giovedì</t>
        </is>
      </c>
      <c r="D49" s="8">
        <f>Calcoli!$C49</f>
        <v/>
      </c>
      <c r="E49" s="8">
        <f>IF(Calcoli!$E49=0,"Presente",Calcoli!$D49)</f>
        <v/>
      </c>
      <c r="F49" s="16">
        <f>Calcoli!$U49</f>
        <v/>
      </c>
      <c r="G49" s="8">
        <f>Calcoli!$V49</f>
        <v/>
      </c>
      <c r="H49" s="8">
        <f>Calcoli!$W49</f>
        <v/>
      </c>
      <c r="I49" s="6">
        <f>Calcoli!$X49</f>
        <v/>
      </c>
      <c r="J49" s="17" t="n"/>
    </row>
    <row r="50" ht="16" customHeight="1">
      <c r="A50" s="18" t="n">
        <v>9</v>
      </c>
      <c r="B50" s="19">
        <f>Calcoli!$B50</f>
        <v/>
      </c>
      <c r="C50" s="18" t="inlineStr">
        <is>
          <t>Venerdì</t>
        </is>
      </c>
      <c r="D50" s="18">
        <f>Calcoli!$C50</f>
        <v/>
      </c>
      <c r="E50" s="18">
        <f>IF(Calcoli!$E50=0,"Presente",Calcoli!$D50)</f>
        <v/>
      </c>
      <c r="F50" s="20">
        <f>Calcoli!$U50</f>
        <v/>
      </c>
      <c r="G50" s="18">
        <f>Calcoli!$V50</f>
        <v/>
      </c>
      <c r="H50" s="18">
        <f>Calcoli!$W50</f>
        <v/>
      </c>
      <c r="I50" s="21">
        <f>Calcoli!$X50</f>
        <v/>
      </c>
      <c r="J50" s="22" t="n"/>
    </row>
    <row r="51" ht="16" customHeight="1">
      <c r="A51" s="23" t="n">
        <v>10</v>
      </c>
      <c r="B51" s="24">
        <f>Calcoli!$B51</f>
        <v/>
      </c>
      <c r="C51" s="23" t="inlineStr">
        <is>
          <t>Lunedì</t>
        </is>
      </c>
      <c r="D51" s="23">
        <f>Calcoli!$C51</f>
        <v/>
      </c>
      <c r="E51" s="23">
        <f>IF(Calcoli!$E51=0,"Presente",Calcoli!$D51)</f>
        <v/>
      </c>
      <c r="F51" s="25">
        <f>Calcoli!$U51</f>
        <v/>
      </c>
      <c r="G51" s="23">
        <f>Calcoli!$V51</f>
        <v/>
      </c>
      <c r="H51" s="23">
        <f>Calcoli!$W51</f>
        <v/>
      </c>
      <c r="I51" s="26">
        <f>Calcoli!$X51</f>
        <v/>
      </c>
      <c r="J51" s="17" t="n"/>
    </row>
    <row r="52" ht="16" customHeight="1">
      <c r="A52" s="23" t="n">
        <v>10</v>
      </c>
      <c r="B52" s="24">
        <f>Calcoli!$B52</f>
        <v/>
      </c>
      <c r="C52" s="23" t="inlineStr">
        <is>
          <t>Martedì</t>
        </is>
      </c>
      <c r="D52" s="23">
        <f>Calcoli!$C52</f>
        <v/>
      </c>
      <c r="E52" s="23">
        <f>IF(Calcoli!$E52=0,"Presente",Calcoli!$D52)</f>
        <v/>
      </c>
      <c r="F52" s="25">
        <f>Calcoli!$U52</f>
        <v/>
      </c>
      <c r="G52" s="23">
        <f>Calcoli!$V52</f>
        <v/>
      </c>
      <c r="H52" s="23">
        <f>Calcoli!$W52</f>
        <v/>
      </c>
      <c r="I52" s="26">
        <f>Calcoli!$X52</f>
        <v/>
      </c>
      <c r="J52" s="17" t="n"/>
    </row>
    <row r="53" ht="16" customHeight="1">
      <c r="A53" s="23" t="n">
        <v>10</v>
      </c>
      <c r="B53" s="24">
        <f>Calcoli!$B53</f>
        <v/>
      </c>
      <c r="C53" s="23" t="inlineStr">
        <is>
          <t>Mercoledì</t>
        </is>
      </c>
      <c r="D53" s="23">
        <f>Calcoli!$C53</f>
        <v/>
      </c>
      <c r="E53" s="23">
        <f>IF(Calcoli!$E53=0,"Presente",Calcoli!$D53)</f>
        <v/>
      </c>
      <c r="F53" s="25">
        <f>Calcoli!$U53</f>
        <v/>
      </c>
      <c r="G53" s="23">
        <f>Calcoli!$V53</f>
        <v/>
      </c>
      <c r="H53" s="23">
        <f>Calcoli!$W53</f>
        <v/>
      </c>
      <c r="I53" s="26">
        <f>Calcoli!$X53</f>
        <v/>
      </c>
      <c r="J53" s="17" t="n"/>
    </row>
    <row r="54" ht="16" customHeight="1">
      <c r="A54" s="23" t="n">
        <v>10</v>
      </c>
      <c r="B54" s="24">
        <f>Calcoli!$B54</f>
        <v/>
      </c>
      <c r="C54" s="23" t="inlineStr">
        <is>
          <t>Giovedì</t>
        </is>
      </c>
      <c r="D54" s="23">
        <f>Calcoli!$C54</f>
        <v/>
      </c>
      <c r="E54" s="23">
        <f>IF(Calcoli!$E54=0,"Presente",Calcoli!$D54)</f>
        <v/>
      </c>
      <c r="F54" s="25">
        <f>Calcoli!$U54</f>
        <v/>
      </c>
      <c r="G54" s="23">
        <f>Calcoli!$V54</f>
        <v/>
      </c>
      <c r="H54" s="23">
        <f>Calcoli!$W54</f>
        <v/>
      </c>
      <c r="I54" s="26">
        <f>Calcoli!$X54</f>
        <v/>
      </c>
      <c r="J54" s="17" t="n"/>
    </row>
    <row r="55" ht="16" customHeight="1">
      <c r="A55" s="27" t="n">
        <v>10</v>
      </c>
      <c r="B55" s="28">
        <f>Calcoli!$B55</f>
        <v/>
      </c>
      <c r="C55" s="27" t="inlineStr">
        <is>
          <t>Venerdì</t>
        </is>
      </c>
      <c r="D55" s="27">
        <f>Calcoli!$C55</f>
        <v/>
      </c>
      <c r="E55" s="27">
        <f>IF(Calcoli!$E55=0,"Presente",Calcoli!$D55)</f>
        <v/>
      </c>
      <c r="F55" s="29">
        <f>Calcoli!$U55</f>
        <v/>
      </c>
      <c r="G55" s="27">
        <f>Calcoli!$V55</f>
        <v/>
      </c>
      <c r="H55" s="27">
        <f>Calcoli!$W55</f>
        <v/>
      </c>
      <c r="I55" s="30">
        <f>Calcoli!$X55</f>
        <v/>
      </c>
      <c r="J55" s="22" t="n"/>
    </row>
    <row r="56" ht="16" customHeight="1">
      <c r="A56" s="8" t="n">
        <v>11</v>
      </c>
      <c r="B56" s="15">
        <f>Calcoli!$B56</f>
        <v/>
      </c>
      <c r="C56" s="8" t="inlineStr">
        <is>
          <t>Lunedì</t>
        </is>
      </c>
      <c r="D56" s="8">
        <f>Calcoli!$C56</f>
        <v/>
      </c>
      <c r="E56" s="8">
        <f>IF(Calcoli!$E56=0,"Presente",Calcoli!$D56)</f>
        <v/>
      </c>
      <c r="F56" s="16">
        <f>Calcoli!$U56</f>
        <v/>
      </c>
      <c r="G56" s="8">
        <f>Calcoli!$V56</f>
        <v/>
      </c>
      <c r="H56" s="8">
        <f>Calcoli!$W56</f>
        <v/>
      </c>
      <c r="I56" s="6">
        <f>Calcoli!$X56</f>
        <v/>
      </c>
      <c r="J56" s="17" t="n"/>
    </row>
    <row r="57" ht="16" customHeight="1">
      <c r="A57" s="8" t="n">
        <v>11</v>
      </c>
      <c r="B57" s="15">
        <f>Calcoli!$B57</f>
        <v/>
      </c>
      <c r="C57" s="8" t="inlineStr">
        <is>
          <t>Martedì</t>
        </is>
      </c>
      <c r="D57" s="8">
        <f>Calcoli!$C57</f>
        <v/>
      </c>
      <c r="E57" s="8">
        <f>IF(Calcoli!$E57=0,"Presente",Calcoli!$D57)</f>
        <v/>
      </c>
      <c r="F57" s="16">
        <f>Calcoli!$U57</f>
        <v/>
      </c>
      <c r="G57" s="8">
        <f>Calcoli!$V57</f>
        <v/>
      </c>
      <c r="H57" s="8">
        <f>Calcoli!$W57</f>
        <v/>
      </c>
      <c r="I57" s="6">
        <f>Calcoli!$X57</f>
        <v/>
      </c>
      <c r="J57" s="17" t="n"/>
    </row>
    <row r="58" ht="16" customHeight="1">
      <c r="A58" s="8" t="n">
        <v>11</v>
      </c>
      <c r="B58" s="15">
        <f>Calcoli!$B58</f>
        <v/>
      </c>
      <c r="C58" s="8" t="inlineStr">
        <is>
          <t>Mercoledì</t>
        </is>
      </c>
      <c r="D58" s="8">
        <f>Calcoli!$C58</f>
        <v/>
      </c>
      <c r="E58" s="8">
        <f>IF(Calcoli!$E58=0,"Presente",Calcoli!$D58)</f>
        <v/>
      </c>
      <c r="F58" s="16">
        <f>Calcoli!$U58</f>
        <v/>
      </c>
      <c r="G58" s="8">
        <f>Calcoli!$V58</f>
        <v/>
      </c>
      <c r="H58" s="8">
        <f>Calcoli!$W58</f>
        <v/>
      </c>
      <c r="I58" s="6">
        <f>Calcoli!$X58</f>
        <v/>
      </c>
      <c r="J58" s="17" t="n"/>
    </row>
    <row r="59" ht="16" customHeight="1">
      <c r="A59" s="8" t="n">
        <v>11</v>
      </c>
      <c r="B59" s="15">
        <f>Calcoli!$B59</f>
        <v/>
      </c>
      <c r="C59" s="8" t="inlineStr">
        <is>
          <t>Giovedì</t>
        </is>
      </c>
      <c r="D59" s="8">
        <f>Calcoli!$C59</f>
        <v/>
      </c>
      <c r="E59" s="8">
        <f>IF(Calcoli!$E59=0,"Presente",Calcoli!$D59)</f>
        <v/>
      </c>
      <c r="F59" s="16">
        <f>Calcoli!$U59</f>
        <v/>
      </c>
      <c r="G59" s="8">
        <f>Calcoli!$V59</f>
        <v/>
      </c>
      <c r="H59" s="8">
        <f>Calcoli!$W59</f>
        <v/>
      </c>
      <c r="I59" s="6">
        <f>Calcoli!$X59</f>
        <v/>
      </c>
      <c r="J59" s="17" t="n"/>
    </row>
    <row r="60" ht="16" customHeight="1">
      <c r="A60" s="18" t="n">
        <v>11</v>
      </c>
      <c r="B60" s="19">
        <f>Calcoli!$B60</f>
        <v/>
      </c>
      <c r="C60" s="18" t="inlineStr">
        <is>
          <t>Venerdì</t>
        </is>
      </c>
      <c r="D60" s="18">
        <f>Calcoli!$C60</f>
        <v/>
      </c>
      <c r="E60" s="18">
        <f>IF(Calcoli!$E60=0,"Presente",Calcoli!$D60)</f>
        <v/>
      </c>
      <c r="F60" s="20">
        <f>Calcoli!$U60</f>
        <v/>
      </c>
      <c r="G60" s="18">
        <f>Calcoli!$V60</f>
        <v/>
      </c>
      <c r="H60" s="18">
        <f>Calcoli!$W60</f>
        <v/>
      </c>
      <c r="I60" s="21">
        <f>Calcoli!$X60</f>
        <v/>
      </c>
      <c r="J60" s="22" t="n"/>
    </row>
    <row r="61" ht="16" customHeight="1">
      <c r="A61" s="23" t="n">
        <v>12</v>
      </c>
      <c r="B61" s="24">
        <f>Calcoli!$B61</f>
        <v/>
      </c>
      <c r="C61" s="23" t="inlineStr">
        <is>
          <t>Lunedì</t>
        </is>
      </c>
      <c r="D61" s="23">
        <f>Calcoli!$C61</f>
        <v/>
      </c>
      <c r="E61" s="23">
        <f>IF(Calcoli!$E61=0,"Presente",Calcoli!$D61)</f>
        <v/>
      </c>
      <c r="F61" s="25">
        <f>Calcoli!$U61</f>
        <v/>
      </c>
      <c r="G61" s="23">
        <f>Calcoli!$V61</f>
        <v/>
      </c>
      <c r="H61" s="23">
        <f>Calcoli!$W61</f>
        <v/>
      </c>
      <c r="I61" s="26">
        <f>Calcoli!$X61</f>
        <v/>
      </c>
      <c r="J61" s="17" t="n"/>
    </row>
    <row r="62" ht="16" customHeight="1">
      <c r="A62" s="23" t="n">
        <v>12</v>
      </c>
      <c r="B62" s="24">
        <f>Calcoli!$B62</f>
        <v/>
      </c>
      <c r="C62" s="23" t="inlineStr">
        <is>
          <t>Martedì</t>
        </is>
      </c>
      <c r="D62" s="23">
        <f>Calcoli!$C62</f>
        <v/>
      </c>
      <c r="E62" s="23">
        <f>IF(Calcoli!$E62=0,"Presente",Calcoli!$D62)</f>
        <v/>
      </c>
      <c r="F62" s="25">
        <f>Calcoli!$U62</f>
        <v/>
      </c>
      <c r="G62" s="23">
        <f>Calcoli!$V62</f>
        <v/>
      </c>
      <c r="H62" s="23">
        <f>Calcoli!$W62</f>
        <v/>
      </c>
      <c r="I62" s="26">
        <f>Calcoli!$X62</f>
        <v/>
      </c>
      <c r="J62" s="17" t="n"/>
    </row>
    <row r="63" ht="16" customHeight="1">
      <c r="A63" s="23" t="n">
        <v>12</v>
      </c>
      <c r="B63" s="24">
        <f>Calcoli!$B63</f>
        <v/>
      </c>
      <c r="C63" s="23" t="inlineStr">
        <is>
          <t>Mercoledì</t>
        </is>
      </c>
      <c r="D63" s="23">
        <f>Calcoli!$C63</f>
        <v/>
      </c>
      <c r="E63" s="23">
        <f>IF(Calcoli!$E63=0,"Presente",Calcoli!$D63)</f>
        <v/>
      </c>
      <c r="F63" s="25">
        <f>Calcoli!$U63</f>
        <v/>
      </c>
      <c r="G63" s="23">
        <f>Calcoli!$V63</f>
        <v/>
      </c>
      <c r="H63" s="23">
        <f>Calcoli!$W63</f>
        <v/>
      </c>
      <c r="I63" s="26">
        <f>Calcoli!$X63</f>
        <v/>
      </c>
      <c r="J63" s="17" t="n"/>
    </row>
    <row r="64" ht="16" customHeight="1">
      <c r="A64" s="23" t="n">
        <v>12</v>
      </c>
      <c r="B64" s="24">
        <f>Calcoli!$B64</f>
        <v/>
      </c>
      <c r="C64" s="23" t="inlineStr">
        <is>
          <t>Giovedì</t>
        </is>
      </c>
      <c r="D64" s="23">
        <f>Calcoli!$C64</f>
        <v/>
      </c>
      <c r="E64" s="23">
        <f>IF(Calcoli!$E64=0,"Presente",Calcoli!$D64)</f>
        <v/>
      </c>
      <c r="F64" s="25">
        <f>Calcoli!$U64</f>
        <v/>
      </c>
      <c r="G64" s="23">
        <f>Calcoli!$V64</f>
        <v/>
      </c>
      <c r="H64" s="23">
        <f>Calcoli!$W64</f>
        <v/>
      </c>
      <c r="I64" s="26">
        <f>Calcoli!$X64</f>
        <v/>
      </c>
      <c r="J64" s="17" t="n"/>
    </row>
    <row r="65" ht="16" customHeight="1">
      <c r="A65" s="27" t="n">
        <v>12</v>
      </c>
      <c r="B65" s="28">
        <f>Calcoli!$B65</f>
        <v/>
      </c>
      <c r="C65" s="27" t="inlineStr">
        <is>
          <t>Venerdì</t>
        </is>
      </c>
      <c r="D65" s="27">
        <f>Calcoli!$C65</f>
        <v/>
      </c>
      <c r="E65" s="27">
        <f>IF(Calcoli!$E65=0,"Presente",Calcoli!$D65)</f>
        <v/>
      </c>
      <c r="F65" s="29">
        <f>Calcoli!$U65</f>
        <v/>
      </c>
      <c r="G65" s="27">
        <f>Calcoli!$V65</f>
        <v/>
      </c>
      <c r="H65" s="27">
        <f>Calcoli!$W65</f>
        <v/>
      </c>
      <c r="I65" s="30">
        <f>Calcoli!$X65</f>
        <v/>
      </c>
      <c r="J65" s="22" t="n"/>
    </row>
    <row r="66" ht="16" customHeight="1">
      <c r="A66" s="8" t="n">
        <v>13</v>
      </c>
      <c r="B66" s="15">
        <f>Calcoli!$B66</f>
        <v/>
      </c>
      <c r="C66" s="8" t="inlineStr">
        <is>
          <t>Lunedì</t>
        </is>
      </c>
      <c r="D66" s="8">
        <f>Calcoli!$C66</f>
        <v/>
      </c>
      <c r="E66" s="8">
        <f>IF(Calcoli!$E66=0,"Presente",Calcoli!$D66)</f>
        <v/>
      </c>
      <c r="F66" s="16">
        <f>Calcoli!$U66</f>
        <v/>
      </c>
      <c r="G66" s="8">
        <f>Calcoli!$V66</f>
        <v/>
      </c>
      <c r="H66" s="8">
        <f>Calcoli!$W66</f>
        <v/>
      </c>
      <c r="I66" s="6">
        <f>Calcoli!$X66</f>
        <v/>
      </c>
      <c r="J66" s="17" t="n"/>
    </row>
    <row r="67" ht="16" customHeight="1">
      <c r="A67" s="8" t="n">
        <v>13</v>
      </c>
      <c r="B67" s="15">
        <f>Calcoli!$B67</f>
        <v/>
      </c>
      <c r="C67" s="8" t="inlineStr">
        <is>
          <t>Martedì</t>
        </is>
      </c>
      <c r="D67" s="8">
        <f>Calcoli!$C67</f>
        <v/>
      </c>
      <c r="E67" s="8">
        <f>IF(Calcoli!$E67=0,"Presente",Calcoli!$D67)</f>
        <v/>
      </c>
      <c r="F67" s="16">
        <f>Calcoli!$U67</f>
        <v/>
      </c>
      <c r="G67" s="8">
        <f>Calcoli!$V67</f>
        <v/>
      </c>
      <c r="H67" s="8">
        <f>Calcoli!$W67</f>
        <v/>
      </c>
      <c r="I67" s="6">
        <f>Calcoli!$X67</f>
        <v/>
      </c>
      <c r="J67" s="17" t="n"/>
    </row>
    <row r="68" ht="16" customHeight="1">
      <c r="A68" s="8" t="n">
        <v>13</v>
      </c>
      <c r="B68" s="15">
        <f>Calcoli!$B68</f>
        <v/>
      </c>
      <c r="C68" s="8" t="inlineStr">
        <is>
          <t>Mercoledì</t>
        </is>
      </c>
      <c r="D68" s="8">
        <f>Calcoli!$C68</f>
        <v/>
      </c>
      <c r="E68" s="8">
        <f>IF(Calcoli!$E68=0,"Presente",Calcoli!$D68)</f>
        <v/>
      </c>
      <c r="F68" s="16">
        <f>Calcoli!$U68</f>
        <v/>
      </c>
      <c r="G68" s="8">
        <f>Calcoli!$V68</f>
        <v/>
      </c>
      <c r="H68" s="8">
        <f>Calcoli!$W68</f>
        <v/>
      </c>
      <c r="I68" s="6">
        <f>Calcoli!$X68</f>
        <v/>
      </c>
      <c r="J68" s="17" t="n"/>
    </row>
    <row r="69" ht="16" customHeight="1">
      <c r="A69" s="8" t="n">
        <v>13</v>
      </c>
      <c r="B69" s="15">
        <f>Calcoli!$B69</f>
        <v/>
      </c>
      <c r="C69" s="8" t="inlineStr">
        <is>
          <t>Giovedì</t>
        </is>
      </c>
      <c r="D69" s="8">
        <f>Calcoli!$C69</f>
        <v/>
      </c>
      <c r="E69" s="8">
        <f>IF(Calcoli!$E69=0,"Presente",Calcoli!$D69)</f>
        <v/>
      </c>
      <c r="F69" s="16">
        <f>Calcoli!$U69</f>
        <v/>
      </c>
      <c r="G69" s="8">
        <f>Calcoli!$V69</f>
        <v/>
      </c>
      <c r="H69" s="8">
        <f>Calcoli!$W69</f>
        <v/>
      </c>
      <c r="I69" s="6">
        <f>Calcoli!$X69</f>
        <v/>
      </c>
      <c r="J69" s="17" t="n"/>
    </row>
    <row r="70" ht="16" customHeight="1">
      <c r="A70" s="8" t="n">
        <v>13</v>
      </c>
      <c r="B70" s="15">
        <f>Calcoli!$B70</f>
        <v/>
      </c>
      <c r="C70" s="8" t="inlineStr">
        <is>
          <t>Venerdì</t>
        </is>
      </c>
      <c r="D70" s="8">
        <f>Calcoli!$C70</f>
        <v/>
      </c>
      <c r="E70" s="8">
        <f>IF(Calcoli!$E70=0,"Presente",Calcoli!$D70)</f>
        <v/>
      </c>
      <c r="F70" s="16">
        <f>Calcoli!$U70</f>
        <v/>
      </c>
      <c r="G70" s="8">
        <f>Calcoli!$V70</f>
        <v/>
      </c>
      <c r="H70" s="8">
        <f>Calcoli!$W70</f>
        <v/>
      </c>
      <c r="I70" s="6">
        <f>Calcoli!$X70</f>
        <v/>
      </c>
      <c r="J70" s="17" t="n"/>
    </row>
  </sheetData>
  <autoFilter ref="A5:J70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30" customWidth="1" min="4" max="4"/>
    <col width="60" customWidth="1" min="5" max="5"/>
  </cols>
  <sheetData>
    <row r="1" ht="26" customHeight="1">
      <c r="A1" s="1" t="inlineStr">
        <is>
          <t>COMUNICAZIONE DEL GIOVEDÌ</t>
        </is>
      </c>
      <c r="B1" s="2" t="n"/>
      <c r="C1" s="2" t="n"/>
      <c r="D1" s="2" t="n"/>
      <c r="E1" s="2" t="n"/>
    </row>
    <row r="2" ht="17" customHeight="1">
      <c r="A2" s="3" t="inlineStr">
        <is>
          <t>Prospetto delle posizioni della settimana selezionata, da inviare ai partecipanti</t>
        </is>
      </c>
      <c r="B2" s="2" t="n"/>
      <c r="C2" s="2" t="n"/>
      <c r="D2" s="2" t="n"/>
      <c r="E2" s="2" t="n"/>
    </row>
    <row r="4">
      <c r="B4" s="31" t="inlineStr">
        <is>
          <t>Settimana da comunicare (n.)</t>
        </is>
      </c>
      <c r="C4" s="32" t="n">
        <v>1</v>
      </c>
    </row>
    <row r="5">
      <c r="B5" s="31" t="inlineStr">
        <is>
          <t>Periodo della settimana</t>
        </is>
      </c>
      <c r="C5" s="33">
        <f>TEXT(INDEX(Turnazione!$B$6:$B$70,($C$4-1)*5+1),"dd/mm/yyyy")&amp;" - "&amp;TEXT(INDEX(Turnazione!$B$6:$B$70,($C$4-1)*5+5),"dd/mm/yyyy")</f>
        <v/>
      </c>
    </row>
    <row r="6">
      <c r="B6" s="31" t="inlineStr">
        <is>
          <t>Comunicazione da inviare entro</t>
        </is>
      </c>
      <c r="C6" s="33">
        <f>TEXT(INDEX(Turnazione!$B$6:$B$70,($C$4-1)*5+1)-4,"dddd dd/mm/yyyy")</f>
        <v/>
      </c>
    </row>
    <row r="8" ht="24" customHeight="1">
      <c r="A8" s="7" t="inlineStr"/>
      <c r="B8" s="7" t="inlineStr">
        <is>
          <t>Giorno</t>
        </is>
      </c>
      <c r="C8" s="7" t="inlineStr">
        <is>
          <t>Data</t>
        </is>
      </c>
      <c r="D8" s="7" t="inlineStr">
        <is>
          <t>Conducente</t>
        </is>
      </c>
      <c r="E8" s="7" t="inlineStr">
        <is>
          <t>Note sul turno</t>
        </is>
      </c>
    </row>
    <row r="9" ht="22" customHeight="1">
      <c r="A9" s="8" t="n"/>
      <c r="B9" s="8">
        <f>INDEX(Turnazione!$C$6:$C$70,($C$4-1)*5+1)</f>
        <v/>
      </c>
      <c r="C9" s="8">
        <f>TEXT(INDEX(Turnazione!$B$6:$B$70,($C$4-1)*5+1),"dd/mm/yyyy")</f>
        <v/>
      </c>
      <c r="D9" s="34">
        <f>INDEX(Turnazione!$F$6:$F$70,($C$4-1)*5+1)</f>
        <v/>
      </c>
      <c r="E9" s="6">
        <f>INDEX(Calcoli!$Y$6:$Y$70,($C$4-1)*5+1)</f>
        <v/>
      </c>
    </row>
    <row r="10" ht="22" customHeight="1">
      <c r="A10" s="8" t="n"/>
      <c r="B10" s="8">
        <f>INDEX(Turnazione!$C$6:$C$70,($C$4-1)*5+2)</f>
        <v/>
      </c>
      <c r="C10" s="8">
        <f>TEXT(INDEX(Turnazione!$B$6:$B$70,($C$4-1)*5+2),"dd/mm/yyyy")</f>
        <v/>
      </c>
      <c r="D10" s="34">
        <f>INDEX(Turnazione!$F$6:$F$70,($C$4-1)*5+2)</f>
        <v/>
      </c>
      <c r="E10" s="6">
        <f>INDEX(Calcoli!$Y$6:$Y$70,($C$4-1)*5+2)</f>
        <v/>
      </c>
    </row>
    <row r="11" ht="22" customHeight="1">
      <c r="A11" s="8" t="n"/>
      <c r="B11" s="8">
        <f>INDEX(Turnazione!$C$6:$C$70,($C$4-1)*5+3)</f>
        <v/>
      </c>
      <c r="C11" s="8">
        <f>TEXT(INDEX(Turnazione!$B$6:$B$70,($C$4-1)*5+3),"dd/mm/yyyy")</f>
        <v/>
      </c>
      <c r="D11" s="34">
        <f>INDEX(Turnazione!$F$6:$F$70,($C$4-1)*5+3)</f>
        <v/>
      </c>
      <c r="E11" s="6">
        <f>INDEX(Calcoli!$Y$6:$Y$70,($C$4-1)*5+3)</f>
        <v/>
      </c>
    </row>
    <row r="12" ht="22" customHeight="1">
      <c r="A12" s="8" t="n"/>
      <c r="B12" s="8">
        <f>INDEX(Turnazione!$C$6:$C$70,($C$4-1)*5+4)</f>
        <v/>
      </c>
      <c r="C12" s="8">
        <f>TEXT(INDEX(Turnazione!$B$6:$B$70,($C$4-1)*5+4),"dd/mm/yyyy")</f>
        <v/>
      </c>
      <c r="D12" s="34">
        <f>INDEX(Turnazione!$F$6:$F$70,($C$4-1)*5+4)</f>
        <v/>
      </c>
      <c r="E12" s="6">
        <f>INDEX(Calcoli!$Y$6:$Y$70,($C$4-1)*5+4)</f>
        <v/>
      </c>
    </row>
    <row r="13" ht="22" customHeight="1">
      <c r="A13" s="8" t="n"/>
      <c r="B13" s="8">
        <f>INDEX(Turnazione!$C$6:$C$70,($C$4-1)*5+5)</f>
        <v/>
      </c>
      <c r="C13" s="8">
        <f>TEXT(INDEX(Turnazione!$B$6:$B$70,($C$4-1)*5+5),"dd/mm/yyyy")</f>
        <v/>
      </c>
      <c r="D13" s="34">
        <f>INDEX(Turnazione!$F$6:$F$70,($C$4-1)*5+5)</f>
        <v/>
      </c>
      <c r="E13" s="6">
        <f>INDEX(Calcoli!$Y$6:$Y$70,($C$4-1)*5+5)</f>
        <v/>
      </c>
    </row>
    <row r="15">
      <c r="B15" s="35" t="inlineStr">
        <is>
          <t>TESTO PRONTO DA INVIARE</t>
        </is>
      </c>
    </row>
    <row r="16">
      <c r="B16" s="36">
        <f>"Servizio auto Trinitapoli → Foggia → Trinitapoli"&amp;CHAR(10)&amp;"Turnazione settimana n. "&amp;$C$4&amp;" ("&amp;$C$5&amp;")"&amp;CHAR(10)&amp;CHAR(10)&amp;$B9&amp;" - "&amp;$C9&amp;": "&amp;$D9&amp;IF($E9="",""," ("&amp;$E9&amp;")")&amp;CHAR(10)&amp;$B10&amp;" - "&amp;$C10&amp;": "&amp;$D10&amp;IF($E10="",""," ("&amp;$E10&amp;")")&amp;CHAR(10)&amp;$B11&amp;" - "&amp;$C11&amp;": "&amp;$D11&amp;IF($E11="",""," ("&amp;$E11&amp;")")&amp;CHAR(10)&amp;$B12&amp;" - "&amp;$C12&amp;": "&amp;$D12&amp;IF($E12="",""," ("&amp;$E12&amp;")")&amp;CHAR(10)&amp;$B13&amp;" - "&amp;$C13&amp;": "&amp;$D13&amp;IF($E13="",""," ("&amp;$E13&amp;")")&amp;CHAR(10)&amp;""</f>
        <v/>
      </c>
    </row>
    <row r="17"/>
    <row r="18"/>
    <row r="19"/>
    <row r="20"/>
    <row r="21"/>
    <row r="22"/>
  </sheetData>
  <mergeCells count="4">
    <mergeCell ref="A2:E2"/>
    <mergeCell ref="B15:E15"/>
    <mergeCell ref="A1:E1"/>
    <mergeCell ref="B16:E22"/>
  </mergeCells>
  <dataValidations count="1">
    <dataValidation sqref="C4" showDropDown="0" showInputMessage="0" showErrorMessage="1" allowBlank="0" type="list">
      <formula1>"1,2,3,4,5,6,7,8,9,10,11,12,13"</formula1>
    </dataValidation>
  </dataValidation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7" customWidth="1" min="6" max="6"/>
    <col width="17" customWidth="1" min="7" max="7"/>
    <col width="17" customWidth="1" min="8" max="8"/>
  </cols>
  <sheetData>
    <row r="1" ht="26" customHeight="1">
      <c r="A1" s="1" t="inlineStr">
        <is>
          <t>RIEPILOGO PER PARTECIPANTE</t>
        </is>
      </c>
      <c r="B1" s="2" t="n"/>
      <c r="C1" s="2" t="n"/>
      <c r="D1" s="2" t="n"/>
      <c r="E1" s="2" t="n"/>
      <c r="F1" s="2" t="n"/>
      <c r="G1" s="2" t="n"/>
      <c r="H1" s="2" t="n"/>
    </row>
    <row r="2" ht="17" customHeight="1">
      <c r="A2" s="3" t="inlineStr">
        <is>
          <t>Conteggi sull'intero periodo del servizio (13 settimane)</t>
        </is>
      </c>
      <c r="B2" s="2" t="n"/>
      <c r="C2" s="2" t="n"/>
      <c r="D2" s="2" t="n"/>
      <c r="E2" s="2" t="n"/>
      <c r="F2" s="2" t="n"/>
      <c r="G2" s="2" t="n"/>
      <c r="H2" s="2" t="n"/>
    </row>
    <row r="5" ht="30" customHeight="1">
      <c r="A5" s="7" t="inlineStr">
        <is>
          <t>Partecipante</t>
        </is>
      </c>
      <c r="B5" s="7" t="inlineStr">
        <is>
          <t>Turni ordinari</t>
        </is>
      </c>
      <c r="C5" s="7" t="inlineStr">
        <is>
          <t>Doppi turni
(sostituzioni)</t>
        </is>
      </c>
      <c r="D5" s="7" t="inlineStr">
        <is>
          <t>Recuperi
effettuati</t>
        </is>
      </c>
      <c r="E5" s="7" t="inlineStr">
        <is>
          <t>Totale guide</t>
        </is>
      </c>
      <c r="F5" s="7" t="inlineStr">
        <is>
          <t>Turni saltati
non recuperabili</t>
        </is>
      </c>
      <c r="G5" s="7" t="inlineStr">
        <is>
          <t>Turni saltati
da recuperare</t>
        </is>
      </c>
      <c r="H5" s="7" t="inlineStr">
        <is>
          <t>Recuperi
ancora da saldare</t>
        </is>
      </c>
    </row>
    <row r="6" ht="18" customHeight="1">
      <c r="A6" s="9">
        <f>Partecipanti!$B$5</f>
        <v/>
      </c>
      <c r="B6" s="8">
        <f>COUNTIFS(Turnazione!$F$6:$F$70,$A6,Turnazione!$G$6:$G$70,"Ordinario")</f>
        <v/>
      </c>
      <c r="C6" s="8">
        <f>COUNTIFS(Turnazione!$F$6:$F$70,$A6,Turnazione!$G$6:$G$70,"Sostituzione (doppio turno)")</f>
        <v/>
      </c>
      <c r="D6" s="8">
        <f>COUNTIFS(Turnazione!$F$6:$F$70,$A6,Turnazione!$G$6:$G$70,"Recupero")</f>
        <v/>
      </c>
      <c r="E6" s="34">
        <f>SUM($B6:$D6)</f>
        <v/>
      </c>
      <c r="F6" s="8">
        <f>COUNTIFS(Calcoli!$C$6:$C$70,$A6,Calcoli!$E$6:$E$70,1,Calcoli!$F$6:$F$70,0)</f>
        <v/>
      </c>
      <c r="G6" s="8">
        <f>COUNTIFS(Calcoli!$C$6:$C$70,$A6,Calcoli!$F$6:$F$70,1)</f>
        <v/>
      </c>
      <c r="H6" s="37">
        <f>MAX(0,$G6-$D6)</f>
        <v/>
      </c>
    </row>
    <row r="7" ht="18" customHeight="1">
      <c r="A7" s="9">
        <f>Partecipanti!$B$6</f>
        <v/>
      </c>
      <c r="B7" s="8">
        <f>COUNTIFS(Turnazione!$F$6:$F$70,$A7,Turnazione!$G$6:$G$70,"Ordinario")</f>
        <v/>
      </c>
      <c r="C7" s="8">
        <f>COUNTIFS(Turnazione!$F$6:$F$70,$A7,Turnazione!$G$6:$G$70,"Sostituzione (doppio turno)")</f>
        <v/>
      </c>
      <c r="D7" s="8">
        <f>COUNTIFS(Turnazione!$F$6:$F$70,$A7,Turnazione!$G$6:$G$70,"Recupero")</f>
        <v/>
      </c>
      <c r="E7" s="34">
        <f>SUM($B7:$D7)</f>
        <v/>
      </c>
      <c r="F7" s="8">
        <f>COUNTIFS(Calcoli!$C$6:$C$70,$A7,Calcoli!$E$6:$E$70,1,Calcoli!$F$6:$F$70,0)</f>
        <v/>
      </c>
      <c r="G7" s="8">
        <f>COUNTIFS(Calcoli!$C$6:$C$70,$A7,Calcoli!$F$6:$F$70,1)</f>
        <v/>
      </c>
      <c r="H7" s="37">
        <f>MAX(0,$G7-$D7)</f>
        <v/>
      </c>
    </row>
    <row r="8" ht="18" customHeight="1">
      <c r="A8" s="9">
        <f>Partecipanti!$B$7</f>
        <v/>
      </c>
      <c r="B8" s="8">
        <f>COUNTIFS(Turnazione!$F$6:$F$70,$A8,Turnazione!$G$6:$G$70,"Ordinario")</f>
        <v/>
      </c>
      <c r="C8" s="8">
        <f>COUNTIFS(Turnazione!$F$6:$F$70,$A8,Turnazione!$G$6:$G$70,"Sostituzione (doppio turno)")</f>
        <v/>
      </c>
      <c r="D8" s="8">
        <f>COUNTIFS(Turnazione!$F$6:$F$70,$A8,Turnazione!$G$6:$G$70,"Recupero")</f>
        <v/>
      </c>
      <c r="E8" s="34">
        <f>SUM($B8:$D8)</f>
        <v/>
      </c>
      <c r="F8" s="8">
        <f>COUNTIFS(Calcoli!$C$6:$C$70,$A8,Calcoli!$E$6:$E$70,1,Calcoli!$F$6:$F$70,0)</f>
        <v/>
      </c>
      <c r="G8" s="8">
        <f>COUNTIFS(Calcoli!$C$6:$C$70,$A8,Calcoli!$F$6:$F$70,1)</f>
        <v/>
      </c>
      <c r="H8" s="37">
        <f>MAX(0,$G8-$D8)</f>
        <v/>
      </c>
    </row>
    <row r="9" ht="18" customHeight="1">
      <c r="A9" s="9">
        <f>Partecipanti!$B$8</f>
        <v/>
      </c>
      <c r="B9" s="8">
        <f>COUNTIFS(Turnazione!$F$6:$F$70,$A9,Turnazione!$G$6:$G$70,"Ordinario")</f>
        <v/>
      </c>
      <c r="C9" s="8">
        <f>COUNTIFS(Turnazione!$F$6:$F$70,$A9,Turnazione!$G$6:$G$70,"Sostituzione (doppio turno)")</f>
        <v/>
      </c>
      <c r="D9" s="8">
        <f>COUNTIFS(Turnazione!$F$6:$F$70,$A9,Turnazione!$G$6:$G$70,"Recupero")</f>
        <v/>
      </c>
      <c r="E9" s="34">
        <f>SUM($B9:$D9)</f>
        <v/>
      </c>
      <c r="F9" s="8">
        <f>COUNTIFS(Calcoli!$C$6:$C$70,$A9,Calcoli!$E$6:$E$70,1,Calcoli!$F$6:$F$70,0)</f>
        <v/>
      </c>
      <c r="G9" s="8">
        <f>COUNTIFS(Calcoli!$C$6:$C$70,$A9,Calcoli!$F$6:$F$70,1)</f>
        <v/>
      </c>
      <c r="H9" s="37">
        <f>MAX(0,$G9-$D9)</f>
        <v/>
      </c>
    </row>
    <row r="10" ht="18" customHeight="1">
      <c r="A10" s="9">
        <f>Partecipanti!$B$9</f>
        <v/>
      </c>
      <c r="B10" s="8">
        <f>COUNTIFS(Turnazione!$F$6:$F$70,$A10,Turnazione!$G$6:$G$70,"Ordinario")</f>
        <v/>
      </c>
      <c r="C10" s="8">
        <f>COUNTIFS(Turnazione!$F$6:$F$70,$A10,Turnazione!$G$6:$G$70,"Sostituzione (doppio turno)")</f>
        <v/>
      </c>
      <c r="D10" s="8">
        <f>COUNTIFS(Turnazione!$F$6:$F$70,$A10,Turnazione!$G$6:$G$70,"Recupero")</f>
        <v/>
      </c>
      <c r="E10" s="34">
        <f>SUM($B10:$D10)</f>
        <v/>
      </c>
      <c r="F10" s="8">
        <f>COUNTIFS(Calcoli!$C$6:$C$70,$A10,Calcoli!$E$6:$E$70,1,Calcoli!$F$6:$F$70,0)</f>
        <v/>
      </c>
      <c r="G10" s="8">
        <f>COUNTIFS(Calcoli!$C$6:$C$70,$A10,Calcoli!$F$6:$F$70,1)</f>
        <v/>
      </c>
      <c r="H10" s="37">
        <f>MAX(0,$G10-$D10)</f>
        <v/>
      </c>
    </row>
    <row r="11">
      <c r="A11" s="38" t="inlineStr">
        <is>
          <t>TOTALE</t>
        </is>
      </c>
      <c r="B11" s="39">
        <f>SUM(B6:B10)</f>
        <v/>
      </c>
      <c r="C11" s="39">
        <f>SUM(C6:C10)</f>
        <v/>
      </c>
      <c r="D11" s="39">
        <f>SUM(D6:D10)</f>
        <v/>
      </c>
      <c r="E11" s="39">
        <f>SUM(E6:E10)</f>
        <v/>
      </c>
      <c r="F11" s="39">
        <f>SUM(F6:F10)</f>
        <v/>
      </c>
      <c r="G11" s="39">
        <f>SUM(G6:G10)</f>
        <v/>
      </c>
      <c r="H11" s="39">
        <f>SUM(H6:H10)</f>
        <v/>
      </c>
    </row>
    <row r="13">
      <c r="A13" s="40" t="inlineStr">
        <is>
          <t>Come leggere il riepilogo</t>
        </is>
      </c>
    </row>
    <row r="14" ht="26" customHeight="1">
      <c r="A14" s="31" t="inlineStr">
        <is>
          <t>Totale guide</t>
        </is>
      </c>
      <c r="B14" s="41" t="inlineStr">
        <is>
          <t>Numero di volte in cui la persona prende effettivamente la macchina.</t>
        </is>
      </c>
    </row>
    <row r="15" ht="26" customHeight="1">
      <c r="A15" s="31" t="inlineStr">
        <is>
          <t>Turni saltati non recuperabili</t>
        </is>
      </c>
      <c r="B15" s="41" t="inlineStr">
        <is>
          <t>Turni persi per licenza o attività esterna di settimana intera: non vanno recuperati (R1, R2).</t>
        </is>
      </c>
    </row>
    <row r="16" ht="26" customHeight="1">
      <c r="A16" s="31" t="inlineStr">
        <is>
          <t>Turni saltati da recuperare</t>
        </is>
      </c>
      <c r="B16" s="41" t="inlineStr">
        <is>
          <t>Turni persi per altri motivi: generano un recupero nella settimana successiva (R3).</t>
        </is>
      </c>
    </row>
    <row r="17" ht="26" customHeight="1">
      <c r="A17" s="31" t="inlineStr">
        <is>
          <t>Recuperi ancora da saldare</t>
        </is>
      </c>
      <c r="B17" s="41" t="inlineStr">
        <is>
          <t>Recuperi maturati e non ancora effettuati, di norma perché la persona era assente anche nella settimana del recupero (R7): vanno riprogrammati.</t>
        </is>
      </c>
    </row>
  </sheetData>
  <mergeCells count="6">
    <mergeCell ref="B14:H14"/>
    <mergeCell ref="B17:H17"/>
    <mergeCell ref="A2:H2"/>
    <mergeCell ref="B16:H16"/>
    <mergeCell ref="B15:H1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31" t="inlineStr">
        <is>
          <t>Foglio di appoggio - non modificare</t>
        </is>
      </c>
    </row>
    <row r="5">
      <c r="A5" s="42" t="inlineStr">
        <is>
          <t>Sett.</t>
        </is>
      </c>
      <c r="B5" s="42" t="inlineStr">
        <is>
          <t>Data</t>
        </is>
      </c>
      <c r="C5" s="42" t="inlineStr">
        <is>
          <t>Titolare</t>
        </is>
      </c>
      <c r="D5" s="42" t="inlineStr">
        <is>
          <t>Tipo assenza titolare</t>
        </is>
      </c>
      <c r="E5" s="42" t="inlineStr">
        <is>
          <t>Titolare assente</t>
        </is>
      </c>
      <c r="F5" s="42" t="inlineStr">
        <is>
          <t>Recuperabile</t>
        </is>
      </c>
      <c r="G5" s="42" t="inlineStr">
        <is>
          <t>Disp. Nicola</t>
        </is>
      </c>
      <c r="H5" s="42" t="inlineStr">
        <is>
          <t>Disp. Stefano</t>
        </is>
      </c>
      <c r="I5" s="42" t="inlineStr">
        <is>
          <t>Disp. Rocco</t>
        </is>
      </c>
      <c r="J5" s="42" t="inlineStr">
        <is>
          <t>Disp. Giuseppe</t>
        </is>
      </c>
      <c r="K5" s="42" t="inlineStr">
        <is>
          <t>Disp. Savino</t>
        </is>
      </c>
      <c r="L5" s="42" t="inlineStr">
        <is>
          <t>Recupero da</t>
        </is>
      </c>
      <c r="M5" s="42" t="inlineStr">
        <is>
          <t>Recupero attivo</t>
        </is>
      </c>
      <c r="N5" s="42" t="inlineStr">
        <is>
          <t>Punt. Nicola</t>
        </is>
      </c>
      <c r="O5" s="42" t="inlineStr">
        <is>
          <t>Punt. Stefano</t>
        </is>
      </c>
      <c r="P5" s="42" t="inlineStr">
        <is>
          <t>Punt. Rocco</t>
        </is>
      </c>
      <c r="Q5" s="42" t="inlineStr">
        <is>
          <t>Punt. Giuseppe</t>
        </is>
      </c>
      <c r="R5" s="42" t="inlineStr">
        <is>
          <t>Punt. Savino</t>
        </is>
      </c>
      <c r="S5" s="42" t="inlineStr">
        <is>
          <t>Sostituto</t>
        </is>
      </c>
      <c r="T5" s="42" t="inlineStr">
        <is>
          <t>Sostituto recuperabile</t>
        </is>
      </c>
      <c r="U5" s="42" t="inlineStr">
        <is>
          <t>Conducente effettivo</t>
        </is>
      </c>
      <c r="V5" s="42" t="inlineStr">
        <is>
          <t>Tipo turno</t>
        </is>
      </c>
      <c r="W5" s="42" t="inlineStr">
        <is>
          <t>A riposo</t>
        </is>
      </c>
      <c r="X5" s="42" t="inlineStr">
        <is>
          <t>Motivo variazione</t>
        </is>
      </c>
      <c r="Y5" s="42" t="inlineStr">
        <is>
          <t>Nota sintetica</t>
        </is>
      </c>
      <c r="AB5" s="31" t="inlineStr">
        <is>
          <t>Inizio servizio</t>
        </is>
      </c>
    </row>
    <row r="6">
      <c r="A6" t="n">
        <v>1</v>
      </c>
      <c r="B6" s="43" t="n">
        <v>46293</v>
      </c>
      <c r="C6">
        <f>Partecipanti!$B$5</f>
        <v/>
      </c>
      <c r="D6">
        <f>IF(COUNTIFS(A_PERS,$C6,A_SETT,$A6,A_TIPO,"Licenza - settimana intera")&gt;0,"Licenza - settimana intera",IF(COUNTIFS(A_PERS,$C6,A_SETT,$A6,A_TIPO,"Attività esterna - settimana intera")&gt;0,"Attività esterna - settimana intera",IF(COUNTIFS(A_PERS,$C6,A_DATA,$B6)&gt;0,INDEX(A_TIPO,MATCH(1,INDEX((A_PERS=$C6)*(A_DATA=$B6),0),0)),"")))</f>
        <v/>
      </c>
      <c r="E6">
        <f>IF($D6="",0,1)</f>
        <v/>
      </c>
      <c r="F6">
        <f>IF($E6=0,0,IF(OR($D6="Licenza - settimana intera",$D6="Attività esterna - settimana intera"),0,1))</f>
        <v/>
      </c>
      <c r="G6">
        <f>IF(COUNTIFS(A_PERS,Partecipanti!$B$5,A_DATA,$B6)+COUNTIFS(A_PERS,Partecipanti!$B$5,A_SETT,$A6,A_TIPO,"Licenza - settimana intera")+COUNTIFS(A_PERS,Partecipanti!$B$5,A_SETT,$A6,A_TIPO,"Attività esterna - settimana intera")&gt;0,0,1)</f>
        <v/>
      </c>
      <c r="H6">
        <f>IF(COUNTIFS(A_PERS,Partecipanti!$B$6,A_DATA,$B6)+COUNTIFS(A_PERS,Partecipanti!$B$6,A_SETT,$A6,A_TIPO,"Licenza - settimana intera")+COUNTIFS(A_PERS,Partecipanti!$B$6,A_SETT,$A6,A_TIPO,"Attività esterna - settimana intera")&gt;0,0,1)</f>
        <v/>
      </c>
      <c r="I6">
        <f>IF(COUNTIFS(A_PERS,Partecipanti!$B$7,A_DATA,$B6)+COUNTIFS(A_PERS,Partecipanti!$B$7,A_SETT,$A6,A_TIPO,"Licenza - settimana intera")+COUNTIFS(A_PERS,Partecipanti!$B$7,A_SETT,$A6,A_TIPO,"Attività esterna - settimana intera")&gt;0,0,1)</f>
        <v/>
      </c>
      <c r="J6">
        <f>IF(COUNTIFS(A_PERS,Partecipanti!$B$8,A_DATA,$B6)+COUNTIFS(A_PERS,Partecipanti!$B$8,A_SETT,$A6,A_TIPO,"Licenza - settimana intera")+COUNTIFS(A_PERS,Partecipanti!$B$8,A_SETT,$A6,A_TIPO,"Attività esterna - settimana intera")&gt;0,0,1)</f>
        <v/>
      </c>
      <c r="K6">
        <f>IF(COUNTIFS(A_PERS,Partecipanti!$B$9,A_DATA,$B6)+COUNTIFS(A_PERS,Partecipanti!$B$9,A_SETT,$A6,A_TIPO,"Licenza - settimana intera")+COUNTIFS(A_PERS,Partecipanti!$B$9,A_SETT,$A6,A_TIPO,"Attività esterna - settimana intera")&gt;0,0,1)</f>
        <v/>
      </c>
      <c r="L6" t="inlineStr"/>
      <c r="M6">
        <f>IF($L6="",0,IF(INDEX($G6:$K6,MATCH($L6,Partecipanti!$B$5:$B$9,0))=1,1,0))</f>
        <v/>
      </c>
      <c r="N6">
        <f>IF($G6=0,100000,IF(Partecipanti!$B$5=$C6,100000,0*100+MOD(1-MATCH($C6,Partecipanti!$B$5:$B$9,0)-1,5)))</f>
        <v/>
      </c>
      <c r="O6">
        <f>IF($H6=0,100000,IF(Partecipanti!$B$6=$C6,100000,0*100+MOD(2-MATCH($C6,Partecipanti!$B$5:$B$9,0)-1,5)))</f>
        <v/>
      </c>
      <c r="P6">
        <f>IF($I6=0,100000,IF(Partecipanti!$B$7=$C6,100000,0*100+MOD(3-MATCH($C6,Partecipanti!$B$5:$B$9,0)-1,5)))</f>
        <v/>
      </c>
      <c r="Q6">
        <f>IF($J6=0,100000,IF(Partecipanti!$B$8=$C6,100000,0*100+MOD(4-MATCH($C6,Partecipanti!$B$5:$B$9,0)-1,5)))</f>
        <v/>
      </c>
      <c r="R6">
        <f>IF($K6=0,100000,IF(Partecipanti!$B$9=$C6,100000,0*100+MOD(5-MATCH($C6,Partecipanti!$B$5:$B$9,0)-1,5)))</f>
        <v/>
      </c>
      <c r="S6">
        <f>IF(OR($E6=0,$M6=1),"",IF(MIN($N6:$R6)&gt;=100000,"DA ASSEGNARE",INDEX(Partecipanti!$B$5:$B$9,MATCH(MIN($N6:$R6),$N6:$R6,0))))</f>
        <v/>
      </c>
      <c r="T6">
        <f>IF(AND($F6=1,$S6&lt;&gt;"",$S6&lt;&gt;"DA ASSEGNARE"),$S6,"")</f>
        <v/>
      </c>
      <c r="U6">
        <f>IF($M6=1,$L6,IF($E6=0,$C6,$S6))</f>
        <v/>
      </c>
      <c r="V6">
        <f>IF($M6=1,"Recupero",IF($E6=0,"Ordinario",IF($S6="DA ASSEGNARE","DA ASSEGNARE","Sostituzione (doppio turno)")))</f>
        <v/>
      </c>
      <c r="W6">
        <f>IF(OR($M6=1,$E6=1),$C6,"")</f>
        <v/>
      </c>
      <c r="X6">
        <f>IF($M6=1,$L6&amp;" recupera il turno saltato nella settimana "&amp;($A6-1)&amp;"; "&amp;$C6&amp;" a riposo compensativo",IF($E6=1,$C6&amp;" assente ("&amp;$D6&amp;")"&amp;IF($S6="DA ASSEGNARE","; nessun sostituto disponibile","; sostituisce "&amp;$S6&amp;" con doppio turno")&amp;IF($F6=1,"; turno da recuperare nella settimana "&amp;($A6+1),"; turno non da recuperare"),""))</f>
        <v/>
      </c>
      <c r="Y6">
        <f>IF($M6=1,"recupera il turno saltato nella settimana "&amp;($A6-1)&amp;", "&amp;$C6&amp;" a riposo",IF($E6=1,IF($S6="DA ASSEGNARE","turno da assegnare: "&amp;$C6&amp;" assente","in sostituzione di "&amp;$C6&amp;", doppio turno"),""))</f>
        <v/>
      </c>
      <c r="AB6" s="43" t="n">
        <v>46293</v>
      </c>
      <c r="AC6" s="12" t="inlineStr">
        <is>
          <t>numero settimane</t>
        </is>
      </c>
    </row>
    <row r="7">
      <c r="A7" t="n">
        <v>1</v>
      </c>
      <c r="B7" s="43" t="n">
        <v>46294</v>
      </c>
      <c r="C7">
        <f>Partecipanti!$B$6</f>
        <v/>
      </c>
      <c r="D7">
        <f>IF(COUNTIFS(A_PERS,$C7,A_SETT,$A7,A_TIPO,"Licenza - settimana intera")&gt;0,"Licenza - settimana intera",IF(COUNTIFS(A_PERS,$C7,A_SETT,$A7,A_TIPO,"Attività esterna - settimana intera")&gt;0,"Attività esterna - settimana intera",IF(COUNTIFS(A_PERS,$C7,A_DATA,$B7)&gt;0,INDEX(A_TIPO,MATCH(1,INDEX((A_PERS=$C7)*(A_DATA=$B7),0),0)),"")))</f>
        <v/>
      </c>
      <c r="E7">
        <f>IF($D7="",0,1)</f>
        <v/>
      </c>
      <c r="F7">
        <f>IF($E7=0,0,IF(OR($D7="Licenza - settimana intera",$D7="Attività esterna - settimana intera"),0,1))</f>
        <v/>
      </c>
      <c r="G7">
        <f>IF(COUNTIFS(A_PERS,Partecipanti!$B$5,A_DATA,$B7)+COUNTIFS(A_PERS,Partecipanti!$B$5,A_SETT,$A7,A_TIPO,"Licenza - settimana intera")+COUNTIFS(A_PERS,Partecipanti!$B$5,A_SETT,$A7,A_TIPO,"Attività esterna - settimana intera")&gt;0,0,1)</f>
        <v/>
      </c>
      <c r="H7">
        <f>IF(COUNTIFS(A_PERS,Partecipanti!$B$6,A_DATA,$B7)+COUNTIFS(A_PERS,Partecipanti!$B$6,A_SETT,$A7,A_TIPO,"Licenza - settimana intera")+COUNTIFS(A_PERS,Partecipanti!$B$6,A_SETT,$A7,A_TIPO,"Attività esterna - settimana intera")&gt;0,0,1)</f>
        <v/>
      </c>
      <c r="I7">
        <f>IF(COUNTIFS(A_PERS,Partecipanti!$B$7,A_DATA,$B7)+COUNTIFS(A_PERS,Partecipanti!$B$7,A_SETT,$A7,A_TIPO,"Licenza - settimana intera")+COUNTIFS(A_PERS,Partecipanti!$B$7,A_SETT,$A7,A_TIPO,"Attività esterna - settimana intera")&gt;0,0,1)</f>
        <v/>
      </c>
      <c r="J7">
        <f>IF(COUNTIFS(A_PERS,Partecipanti!$B$8,A_DATA,$B7)+COUNTIFS(A_PERS,Partecipanti!$B$8,A_SETT,$A7,A_TIPO,"Licenza - settimana intera")+COUNTIFS(A_PERS,Partecipanti!$B$8,A_SETT,$A7,A_TIPO,"Attività esterna - settimana intera")&gt;0,0,1)</f>
        <v/>
      </c>
      <c r="K7">
        <f>IF(COUNTIFS(A_PERS,Partecipanti!$B$9,A_DATA,$B7)+COUNTIFS(A_PERS,Partecipanti!$B$9,A_SETT,$A7,A_TIPO,"Licenza - settimana intera")+COUNTIFS(A_PERS,Partecipanti!$B$9,A_SETT,$A7,A_TIPO,"Attività esterna - settimana intera")&gt;0,0,1)</f>
        <v/>
      </c>
      <c r="L7" t="inlineStr"/>
      <c r="M7">
        <f>IF($L7="",0,IF(INDEX($G7:$K7,MATCH($L7,Partecipanti!$B$5:$B$9,0))=1,1,0))</f>
        <v/>
      </c>
      <c r="N7">
        <f>IF($G7=0,100000,IF(Partecipanti!$B$5=$C7,100000,COUNTIF($S$6:$S6,Partecipanti!$B$5)*100+MOD(1-MATCH($C7,Partecipanti!$B$5:$B$9,0)-1,5)))</f>
        <v/>
      </c>
      <c r="O7">
        <f>IF($H7=0,100000,IF(Partecipanti!$B$6=$C7,100000,COUNTIF($S$6:$S6,Partecipanti!$B$6)*100+MOD(2-MATCH($C7,Partecipanti!$B$5:$B$9,0)-1,5)))</f>
        <v/>
      </c>
      <c r="P7">
        <f>IF($I7=0,100000,IF(Partecipanti!$B$7=$C7,100000,COUNTIF($S$6:$S6,Partecipanti!$B$7)*100+MOD(3-MATCH($C7,Partecipanti!$B$5:$B$9,0)-1,5)))</f>
        <v/>
      </c>
      <c r="Q7">
        <f>IF($J7=0,100000,IF(Partecipanti!$B$8=$C7,100000,COUNTIF($S$6:$S6,Partecipanti!$B$8)*100+MOD(4-MATCH($C7,Partecipanti!$B$5:$B$9,0)-1,5)))</f>
        <v/>
      </c>
      <c r="R7">
        <f>IF($K7=0,100000,IF(Partecipanti!$B$9=$C7,100000,COUNTIF($S$6:$S6,Partecipanti!$B$9)*100+MOD(5-MATCH($C7,Partecipanti!$B$5:$B$9,0)-1,5)))</f>
        <v/>
      </c>
      <c r="S7">
        <f>IF(OR($E7=0,$M7=1),"",IF(MIN($N7:$R7)&gt;=100000,"DA ASSEGNARE",INDEX(Partecipanti!$B$5:$B$9,MATCH(MIN($N7:$R7),$N7:$R7,0))))</f>
        <v/>
      </c>
      <c r="T7">
        <f>IF(AND($F7=1,$S7&lt;&gt;"",$S7&lt;&gt;"DA ASSEGNARE"),$S7,"")</f>
        <v/>
      </c>
      <c r="U7">
        <f>IF($M7=1,$L7,IF($E7=0,$C7,$S7))</f>
        <v/>
      </c>
      <c r="V7">
        <f>IF($M7=1,"Recupero",IF($E7=0,"Ordinario",IF($S7="DA ASSEGNARE","DA ASSEGNARE","Sostituzione (doppio turno)")))</f>
        <v/>
      </c>
      <c r="W7">
        <f>IF(OR($M7=1,$E7=1),$C7,"")</f>
        <v/>
      </c>
      <c r="X7">
        <f>IF($M7=1,$L7&amp;" recupera il turno saltato nella settimana "&amp;($A7-1)&amp;"; "&amp;$C7&amp;" a riposo compensativo",IF($E7=1,$C7&amp;" assente ("&amp;$D7&amp;")"&amp;IF($S7="DA ASSEGNARE","; nessun sostituto disponibile","; sostituisce "&amp;$S7&amp;" con doppio turno")&amp;IF($F7=1,"; turno da recuperare nella settimana "&amp;($A7+1),"; turno non da recuperare"),""))</f>
        <v/>
      </c>
      <c r="Y7">
        <f>IF($M7=1,"recupera il turno saltato nella settimana "&amp;($A7-1)&amp;", "&amp;$C7&amp;" a riposo",IF($E7=1,IF($S7="DA ASSEGNARE","turno da assegnare: "&amp;$C7&amp;" assente","in sostituzione di "&amp;$C7&amp;", doppio turno"),""))</f>
        <v/>
      </c>
      <c r="AB7" t="n">
        <v>13</v>
      </c>
    </row>
    <row r="8">
      <c r="A8" t="n">
        <v>1</v>
      </c>
      <c r="B8" s="43" t="n">
        <v>46295</v>
      </c>
      <c r="C8">
        <f>Partecipanti!$B$7</f>
        <v/>
      </c>
      <c r="D8">
        <f>IF(COUNTIFS(A_PERS,$C8,A_SETT,$A8,A_TIPO,"Licenza - settimana intera")&gt;0,"Licenza - settimana intera",IF(COUNTIFS(A_PERS,$C8,A_SETT,$A8,A_TIPO,"Attività esterna - settimana intera")&gt;0,"Attività esterna - settimana intera",IF(COUNTIFS(A_PERS,$C8,A_DATA,$B8)&gt;0,INDEX(A_TIPO,MATCH(1,INDEX((A_PERS=$C8)*(A_DATA=$B8),0),0)),"")))</f>
        <v/>
      </c>
      <c r="E8">
        <f>IF($D8="",0,1)</f>
        <v/>
      </c>
      <c r="F8">
        <f>IF($E8=0,0,IF(OR($D8="Licenza - settimana intera",$D8="Attività esterna - settimana intera"),0,1))</f>
        <v/>
      </c>
      <c r="G8">
        <f>IF(COUNTIFS(A_PERS,Partecipanti!$B$5,A_DATA,$B8)+COUNTIFS(A_PERS,Partecipanti!$B$5,A_SETT,$A8,A_TIPO,"Licenza - settimana intera")+COUNTIFS(A_PERS,Partecipanti!$B$5,A_SETT,$A8,A_TIPO,"Attività esterna - settimana intera")&gt;0,0,1)</f>
        <v/>
      </c>
      <c r="H8">
        <f>IF(COUNTIFS(A_PERS,Partecipanti!$B$6,A_DATA,$B8)+COUNTIFS(A_PERS,Partecipanti!$B$6,A_SETT,$A8,A_TIPO,"Licenza - settimana intera")+COUNTIFS(A_PERS,Partecipanti!$B$6,A_SETT,$A8,A_TIPO,"Attività esterna - settimana intera")&gt;0,0,1)</f>
        <v/>
      </c>
      <c r="I8">
        <f>IF(COUNTIFS(A_PERS,Partecipanti!$B$7,A_DATA,$B8)+COUNTIFS(A_PERS,Partecipanti!$B$7,A_SETT,$A8,A_TIPO,"Licenza - settimana intera")+COUNTIFS(A_PERS,Partecipanti!$B$7,A_SETT,$A8,A_TIPO,"Attività esterna - settimana intera")&gt;0,0,1)</f>
        <v/>
      </c>
      <c r="J8">
        <f>IF(COUNTIFS(A_PERS,Partecipanti!$B$8,A_DATA,$B8)+COUNTIFS(A_PERS,Partecipanti!$B$8,A_SETT,$A8,A_TIPO,"Licenza - settimana intera")+COUNTIFS(A_PERS,Partecipanti!$B$8,A_SETT,$A8,A_TIPO,"Attività esterna - settimana intera")&gt;0,0,1)</f>
        <v/>
      </c>
      <c r="K8">
        <f>IF(COUNTIFS(A_PERS,Partecipanti!$B$9,A_DATA,$B8)+COUNTIFS(A_PERS,Partecipanti!$B$9,A_SETT,$A8,A_TIPO,"Licenza - settimana intera")+COUNTIFS(A_PERS,Partecipanti!$B$9,A_SETT,$A8,A_TIPO,"Attività esterna - settimana intera")&gt;0,0,1)</f>
        <v/>
      </c>
      <c r="L8" t="inlineStr"/>
      <c r="M8">
        <f>IF($L8="",0,IF(INDEX($G8:$K8,MATCH($L8,Partecipanti!$B$5:$B$9,0))=1,1,0))</f>
        <v/>
      </c>
      <c r="N8">
        <f>IF($G8=0,100000,IF(Partecipanti!$B$5=$C8,100000,COUNTIF($S$6:$S7,Partecipanti!$B$5)*100+MOD(1-MATCH($C8,Partecipanti!$B$5:$B$9,0)-1,5)))</f>
        <v/>
      </c>
      <c r="O8">
        <f>IF($H8=0,100000,IF(Partecipanti!$B$6=$C8,100000,COUNTIF($S$6:$S7,Partecipanti!$B$6)*100+MOD(2-MATCH($C8,Partecipanti!$B$5:$B$9,0)-1,5)))</f>
        <v/>
      </c>
      <c r="P8">
        <f>IF($I8=0,100000,IF(Partecipanti!$B$7=$C8,100000,COUNTIF($S$6:$S7,Partecipanti!$B$7)*100+MOD(3-MATCH($C8,Partecipanti!$B$5:$B$9,0)-1,5)))</f>
        <v/>
      </c>
      <c r="Q8">
        <f>IF($J8=0,100000,IF(Partecipanti!$B$8=$C8,100000,COUNTIF($S$6:$S7,Partecipanti!$B$8)*100+MOD(4-MATCH($C8,Partecipanti!$B$5:$B$9,0)-1,5)))</f>
        <v/>
      </c>
      <c r="R8">
        <f>IF($K8=0,100000,IF(Partecipanti!$B$9=$C8,100000,COUNTIF($S$6:$S7,Partecipanti!$B$9)*100+MOD(5-MATCH($C8,Partecipanti!$B$5:$B$9,0)-1,5)))</f>
        <v/>
      </c>
      <c r="S8">
        <f>IF(OR($E8=0,$M8=1),"",IF(MIN($N8:$R8)&gt;=100000,"DA ASSEGNARE",INDEX(Partecipanti!$B$5:$B$9,MATCH(MIN($N8:$R8),$N8:$R8,0))))</f>
        <v/>
      </c>
      <c r="T8">
        <f>IF(AND($F8=1,$S8&lt;&gt;"",$S8&lt;&gt;"DA ASSEGNARE"),$S8,"")</f>
        <v/>
      </c>
      <c r="U8">
        <f>IF($M8=1,$L8,IF($E8=0,$C8,$S8))</f>
        <v/>
      </c>
      <c r="V8">
        <f>IF($M8=1,"Recupero",IF($E8=0,"Ordinario",IF($S8="DA ASSEGNARE","DA ASSEGNARE","Sostituzione (doppio turno)")))</f>
        <v/>
      </c>
      <c r="W8">
        <f>IF(OR($M8=1,$E8=1),$C8,"")</f>
        <v/>
      </c>
      <c r="X8">
        <f>IF($M8=1,$L8&amp;" recupera il turno saltato nella settimana "&amp;($A8-1)&amp;"; "&amp;$C8&amp;" a riposo compensativo",IF($E8=1,$C8&amp;" assente ("&amp;$D8&amp;")"&amp;IF($S8="DA ASSEGNARE","; nessun sostituto disponibile","; sostituisce "&amp;$S8&amp;" con doppio turno")&amp;IF($F8=1,"; turno da recuperare nella settimana "&amp;($A8+1),"; turno non da recuperare"),""))</f>
        <v/>
      </c>
      <c r="Y8">
        <f>IF($M8=1,"recupera il turno saltato nella settimana "&amp;($A8-1)&amp;", "&amp;$C8&amp;" a riposo",IF($E8=1,IF($S8="DA ASSEGNARE","turno da assegnare: "&amp;$C8&amp;" assente","in sostituzione di "&amp;$C8&amp;", doppio turno"),""))</f>
        <v/>
      </c>
    </row>
    <row r="9">
      <c r="A9" t="n">
        <v>1</v>
      </c>
      <c r="B9" s="43" t="n">
        <v>46296</v>
      </c>
      <c r="C9">
        <f>Partecipanti!$B$8</f>
        <v/>
      </c>
      <c r="D9">
        <f>IF(COUNTIFS(A_PERS,$C9,A_SETT,$A9,A_TIPO,"Licenza - settimana intera")&gt;0,"Licenza - settimana intera",IF(COUNTIFS(A_PERS,$C9,A_SETT,$A9,A_TIPO,"Attività esterna - settimana intera")&gt;0,"Attività esterna - settimana intera",IF(COUNTIFS(A_PERS,$C9,A_DATA,$B9)&gt;0,INDEX(A_TIPO,MATCH(1,INDEX((A_PERS=$C9)*(A_DATA=$B9),0),0)),"")))</f>
        <v/>
      </c>
      <c r="E9">
        <f>IF($D9="",0,1)</f>
        <v/>
      </c>
      <c r="F9">
        <f>IF($E9=0,0,IF(OR($D9="Licenza - settimana intera",$D9="Attività esterna - settimana intera"),0,1))</f>
        <v/>
      </c>
      <c r="G9">
        <f>IF(COUNTIFS(A_PERS,Partecipanti!$B$5,A_DATA,$B9)+COUNTIFS(A_PERS,Partecipanti!$B$5,A_SETT,$A9,A_TIPO,"Licenza - settimana intera")+COUNTIFS(A_PERS,Partecipanti!$B$5,A_SETT,$A9,A_TIPO,"Attività esterna - settimana intera")&gt;0,0,1)</f>
        <v/>
      </c>
      <c r="H9">
        <f>IF(COUNTIFS(A_PERS,Partecipanti!$B$6,A_DATA,$B9)+COUNTIFS(A_PERS,Partecipanti!$B$6,A_SETT,$A9,A_TIPO,"Licenza - settimana intera")+COUNTIFS(A_PERS,Partecipanti!$B$6,A_SETT,$A9,A_TIPO,"Attività esterna - settimana intera")&gt;0,0,1)</f>
        <v/>
      </c>
      <c r="I9">
        <f>IF(COUNTIFS(A_PERS,Partecipanti!$B$7,A_DATA,$B9)+COUNTIFS(A_PERS,Partecipanti!$B$7,A_SETT,$A9,A_TIPO,"Licenza - settimana intera")+COUNTIFS(A_PERS,Partecipanti!$B$7,A_SETT,$A9,A_TIPO,"Attività esterna - settimana intera")&gt;0,0,1)</f>
        <v/>
      </c>
      <c r="J9">
        <f>IF(COUNTIFS(A_PERS,Partecipanti!$B$8,A_DATA,$B9)+COUNTIFS(A_PERS,Partecipanti!$B$8,A_SETT,$A9,A_TIPO,"Licenza - settimana intera")+COUNTIFS(A_PERS,Partecipanti!$B$8,A_SETT,$A9,A_TIPO,"Attività esterna - settimana intera")&gt;0,0,1)</f>
        <v/>
      </c>
      <c r="K9">
        <f>IF(COUNTIFS(A_PERS,Partecipanti!$B$9,A_DATA,$B9)+COUNTIFS(A_PERS,Partecipanti!$B$9,A_SETT,$A9,A_TIPO,"Licenza - settimana intera")+COUNTIFS(A_PERS,Partecipanti!$B$9,A_SETT,$A9,A_TIPO,"Attività esterna - settimana intera")&gt;0,0,1)</f>
        <v/>
      </c>
      <c r="L9" t="inlineStr"/>
      <c r="M9">
        <f>IF($L9="",0,IF(INDEX($G9:$K9,MATCH($L9,Partecipanti!$B$5:$B$9,0))=1,1,0))</f>
        <v/>
      </c>
      <c r="N9">
        <f>IF($G9=0,100000,IF(Partecipanti!$B$5=$C9,100000,COUNTIF($S$6:$S8,Partecipanti!$B$5)*100+MOD(1-MATCH($C9,Partecipanti!$B$5:$B$9,0)-1,5)))</f>
        <v/>
      </c>
      <c r="O9">
        <f>IF($H9=0,100000,IF(Partecipanti!$B$6=$C9,100000,COUNTIF($S$6:$S8,Partecipanti!$B$6)*100+MOD(2-MATCH($C9,Partecipanti!$B$5:$B$9,0)-1,5)))</f>
        <v/>
      </c>
      <c r="P9">
        <f>IF($I9=0,100000,IF(Partecipanti!$B$7=$C9,100000,COUNTIF($S$6:$S8,Partecipanti!$B$7)*100+MOD(3-MATCH($C9,Partecipanti!$B$5:$B$9,0)-1,5)))</f>
        <v/>
      </c>
      <c r="Q9">
        <f>IF($J9=0,100000,IF(Partecipanti!$B$8=$C9,100000,COUNTIF($S$6:$S8,Partecipanti!$B$8)*100+MOD(4-MATCH($C9,Partecipanti!$B$5:$B$9,0)-1,5)))</f>
        <v/>
      </c>
      <c r="R9">
        <f>IF($K9=0,100000,IF(Partecipanti!$B$9=$C9,100000,COUNTIF($S$6:$S8,Partecipanti!$B$9)*100+MOD(5-MATCH($C9,Partecipanti!$B$5:$B$9,0)-1,5)))</f>
        <v/>
      </c>
      <c r="S9">
        <f>IF(OR($E9=0,$M9=1),"",IF(MIN($N9:$R9)&gt;=100000,"DA ASSEGNARE",INDEX(Partecipanti!$B$5:$B$9,MATCH(MIN($N9:$R9),$N9:$R9,0))))</f>
        <v/>
      </c>
      <c r="T9">
        <f>IF(AND($F9=1,$S9&lt;&gt;"",$S9&lt;&gt;"DA ASSEGNARE"),$S9,"")</f>
        <v/>
      </c>
      <c r="U9">
        <f>IF($M9=1,$L9,IF($E9=0,$C9,$S9))</f>
        <v/>
      </c>
      <c r="V9">
        <f>IF($M9=1,"Recupero",IF($E9=0,"Ordinario",IF($S9="DA ASSEGNARE","DA ASSEGNARE","Sostituzione (doppio turno)")))</f>
        <v/>
      </c>
      <c r="W9">
        <f>IF(OR($M9=1,$E9=1),$C9,"")</f>
        <v/>
      </c>
      <c r="X9">
        <f>IF($M9=1,$L9&amp;" recupera il turno saltato nella settimana "&amp;($A9-1)&amp;"; "&amp;$C9&amp;" a riposo compensativo",IF($E9=1,$C9&amp;" assente ("&amp;$D9&amp;")"&amp;IF($S9="DA ASSEGNARE","; nessun sostituto disponibile","; sostituisce "&amp;$S9&amp;" con doppio turno")&amp;IF($F9=1,"; turno da recuperare nella settimana "&amp;($A9+1),"; turno non da recuperare"),""))</f>
        <v/>
      </c>
      <c r="Y9">
        <f>IF($M9=1,"recupera il turno saltato nella settimana "&amp;($A9-1)&amp;", "&amp;$C9&amp;" a riposo",IF($E9=1,IF($S9="DA ASSEGNARE","turno da assegnare: "&amp;$C9&amp;" assente","in sostituzione di "&amp;$C9&amp;", doppio turno"),""))</f>
        <v/>
      </c>
    </row>
    <row r="10">
      <c r="A10" t="n">
        <v>1</v>
      </c>
      <c r="B10" s="43" t="n">
        <v>46297</v>
      </c>
      <c r="C10">
        <f>Partecipanti!$B$9</f>
        <v/>
      </c>
      <c r="D10">
        <f>IF(COUNTIFS(A_PERS,$C10,A_SETT,$A10,A_TIPO,"Licenza - settimana intera")&gt;0,"Licenza - settimana intera",IF(COUNTIFS(A_PERS,$C10,A_SETT,$A10,A_TIPO,"Attività esterna - settimana intera")&gt;0,"Attività esterna - settimana intera",IF(COUNTIFS(A_PERS,$C10,A_DATA,$B10)&gt;0,INDEX(A_TIPO,MATCH(1,INDEX((A_PERS=$C10)*(A_DATA=$B10),0),0)),"")))</f>
        <v/>
      </c>
      <c r="E10">
        <f>IF($D10="",0,1)</f>
        <v/>
      </c>
      <c r="F10">
        <f>IF($E10=0,0,IF(OR($D10="Licenza - settimana intera",$D10="Attività esterna - settimana intera"),0,1))</f>
        <v/>
      </c>
      <c r="G10">
        <f>IF(COUNTIFS(A_PERS,Partecipanti!$B$5,A_DATA,$B10)+COUNTIFS(A_PERS,Partecipanti!$B$5,A_SETT,$A10,A_TIPO,"Licenza - settimana intera")+COUNTIFS(A_PERS,Partecipanti!$B$5,A_SETT,$A10,A_TIPO,"Attività esterna - settimana intera")&gt;0,0,1)</f>
        <v/>
      </c>
      <c r="H10">
        <f>IF(COUNTIFS(A_PERS,Partecipanti!$B$6,A_DATA,$B10)+COUNTIFS(A_PERS,Partecipanti!$B$6,A_SETT,$A10,A_TIPO,"Licenza - settimana intera")+COUNTIFS(A_PERS,Partecipanti!$B$6,A_SETT,$A10,A_TIPO,"Attività esterna - settimana intera")&gt;0,0,1)</f>
        <v/>
      </c>
      <c r="I10">
        <f>IF(COUNTIFS(A_PERS,Partecipanti!$B$7,A_DATA,$B10)+COUNTIFS(A_PERS,Partecipanti!$B$7,A_SETT,$A10,A_TIPO,"Licenza - settimana intera")+COUNTIFS(A_PERS,Partecipanti!$B$7,A_SETT,$A10,A_TIPO,"Attività esterna - settimana intera")&gt;0,0,1)</f>
        <v/>
      </c>
      <c r="J10">
        <f>IF(COUNTIFS(A_PERS,Partecipanti!$B$8,A_DATA,$B10)+COUNTIFS(A_PERS,Partecipanti!$B$8,A_SETT,$A10,A_TIPO,"Licenza - settimana intera")+COUNTIFS(A_PERS,Partecipanti!$B$8,A_SETT,$A10,A_TIPO,"Attività esterna - settimana intera")&gt;0,0,1)</f>
        <v/>
      </c>
      <c r="K10">
        <f>IF(COUNTIFS(A_PERS,Partecipanti!$B$9,A_DATA,$B10)+COUNTIFS(A_PERS,Partecipanti!$B$9,A_SETT,$A10,A_TIPO,"Licenza - settimana intera")+COUNTIFS(A_PERS,Partecipanti!$B$9,A_SETT,$A10,A_TIPO,"Attività esterna - settimana intera")&gt;0,0,1)</f>
        <v/>
      </c>
      <c r="L10" t="inlineStr"/>
      <c r="M10">
        <f>IF($L10="",0,IF(INDEX($G10:$K10,MATCH($L10,Partecipanti!$B$5:$B$9,0))=1,1,0))</f>
        <v/>
      </c>
      <c r="N10">
        <f>IF($G10=0,100000,IF(Partecipanti!$B$5=$C10,100000,COUNTIF($S$6:$S9,Partecipanti!$B$5)*100+MOD(1-MATCH($C10,Partecipanti!$B$5:$B$9,0)-1,5)))</f>
        <v/>
      </c>
      <c r="O10">
        <f>IF($H10=0,100000,IF(Partecipanti!$B$6=$C10,100000,COUNTIF($S$6:$S9,Partecipanti!$B$6)*100+MOD(2-MATCH($C10,Partecipanti!$B$5:$B$9,0)-1,5)))</f>
        <v/>
      </c>
      <c r="P10">
        <f>IF($I10=0,100000,IF(Partecipanti!$B$7=$C10,100000,COUNTIF($S$6:$S9,Partecipanti!$B$7)*100+MOD(3-MATCH($C10,Partecipanti!$B$5:$B$9,0)-1,5)))</f>
        <v/>
      </c>
      <c r="Q10">
        <f>IF($J10=0,100000,IF(Partecipanti!$B$8=$C10,100000,COUNTIF($S$6:$S9,Partecipanti!$B$8)*100+MOD(4-MATCH($C10,Partecipanti!$B$5:$B$9,0)-1,5)))</f>
        <v/>
      </c>
      <c r="R10">
        <f>IF($K10=0,100000,IF(Partecipanti!$B$9=$C10,100000,COUNTIF($S$6:$S9,Partecipanti!$B$9)*100+MOD(5-MATCH($C10,Partecipanti!$B$5:$B$9,0)-1,5)))</f>
        <v/>
      </c>
      <c r="S10">
        <f>IF(OR($E10=0,$M10=1),"",IF(MIN($N10:$R10)&gt;=100000,"DA ASSEGNARE",INDEX(Partecipanti!$B$5:$B$9,MATCH(MIN($N10:$R10),$N10:$R10,0))))</f>
        <v/>
      </c>
      <c r="T10">
        <f>IF(AND($F10=1,$S10&lt;&gt;"",$S10&lt;&gt;"DA ASSEGNARE"),$S10,"")</f>
        <v/>
      </c>
      <c r="U10">
        <f>IF($M10=1,$L10,IF($E10=0,$C10,$S10))</f>
        <v/>
      </c>
      <c r="V10">
        <f>IF($M10=1,"Recupero",IF($E10=0,"Ordinario",IF($S10="DA ASSEGNARE","DA ASSEGNARE","Sostituzione (doppio turno)")))</f>
        <v/>
      </c>
      <c r="W10">
        <f>IF(OR($M10=1,$E10=1),$C10,"")</f>
        <v/>
      </c>
      <c r="X10">
        <f>IF($M10=1,$L10&amp;" recupera il turno saltato nella settimana "&amp;($A10-1)&amp;"; "&amp;$C10&amp;" a riposo compensativo",IF($E10=1,$C10&amp;" assente ("&amp;$D10&amp;")"&amp;IF($S10="DA ASSEGNARE","; nessun sostituto disponibile","; sostituisce "&amp;$S10&amp;" con doppio turno")&amp;IF($F10=1,"; turno da recuperare nella settimana "&amp;($A10+1),"; turno non da recuperare"),""))</f>
        <v/>
      </c>
      <c r="Y10">
        <f>IF($M10=1,"recupera il turno saltato nella settimana "&amp;($A10-1)&amp;", "&amp;$C10&amp;" a riposo",IF($E10=1,IF($S10="DA ASSEGNARE","turno da assegnare: "&amp;$C10&amp;" assente","in sostituzione di "&amp;$C10&amp;", doppio turno"),""))</f>
        <v/>
      </c>
    </row>
    <row r="11">
      <c r="A11" t="n">
        <v>2</v>
      </c>
      <c r="B11" s="43" t="n">
        <v>46300</v>
      </c>
      <c r="C11">
        <f>Partecipanti!$B$5</f>
        <v/>
      </c>
      <c r="D11">
        <f>IF(COUNTIFS(A_PERS,$C11,A_SETT,$A11,A_TIPO,"Licenza - settimana intera")&gt;0,"Licenza - settimana intera",IF(COUNTIFS(A_PERS,$C11,A_SETT,$A11,A_TIPO,"Attività esterna - settimana intera")&gt;0,"Attività esterna - settimana intera",IF(COUNTIFS(A_PERS,$C11,A_DATA,$B11)&gt;0,INDEX(A_TIPO,MATCH(1,INDEX((A_PERS=$C11)*(A_DATA=$B11),0),0)),"")))</f>
        <v/>
      </c>
      <c r="E11">
        <f>IF($D11="",0,1)</f>
        <v/>
      </c>
      <c r="F11">
        <f>IF($E11=0,0,IF(OR($D11="Licenza - settimana intera",$D11="Attività esterna - settimana intera"),0,1))</f>
        <v/>
      </c>
      <c r="G11">
        <f>IF(COUNTIFS(A_PERS,Partecipanti!$B$5,A_DATA,$B11)+COUNTIFS(A_PERS,Partecipanti!$B$5,A_SETT,$A11,A_TIPO,"Licenza - settimana intera")+COUNTIFS(A_PERS,Partecipanti!$B$5,A_SETT,$A11,A_TIPO,"Attività esterna - settimana intera")&gt;0,0,1)</f>
        <v/>
      </c>
      <c r="H11">
        <f>IF(COUNTIFS(A_PERS,Partecipanti!$B$6,A_DATA,$B11)+COUNTIFS(A_PERS,Partecipanti!$B$6,A_SETT,$A11,A_TIPO,"Licenza - settimana intera")+COUNTIFS(A_PERS,Partecipanti!$B$6,A_SETT,$A11,A_TIPO,"Attività esterna - settimana intera")&gt;0,0,1)</f>
        <v/>
      </c>
      <c r="I11">
        <f>IF(COUNTIFS(A_PERS,Partecipanti!$B$7,A_DATA,$B11)+COUNTIFS(A_PERS,Partecipanti!$B$7,A_SETT,$A11,A_TIPO,"Licenza - settimana intera")+COUNTIFS(A_PERS,Partecipanti!$B$7,A_SETT,$A11,A_TIPO,"Attività esterna - settimana intera")&gt;0,0,1)</f>
        <v/>
      </c>
      <c r="J11">
        <f>IF(COUNTIFS(A_PERS,Partecipanti!$B$8,A_DATA,$B11)+COUNTIFS(A_PERS,Partecipanti!$B$8,A_SETT,$A11,A_TIPO,"Licenza - settimana intera")+COUNTIFS(A_PERS,Partecipanti!$B$8,A_SETT,$A11,A_TIPO,"Attività esterna - settimana intera")&gt;0,0,1)</f>
        <v/>
      </c>
      <c r="K11">
        <f>IF(COUNTIFS(A_PERS,Partecipanti!$B$9,A_DATA,$B11)+COUNTIFS(A_PERS,Partecipanti!$B$9,A_SETT,$A11,A_TIPO,"Licenza - settimana intera")+COUNTIFS(A_PERS,Partecipanti!$B$9,A_SETT,$A11,A_TIPO,"Attività esterna - settimana intera")&gt;0,0,1)</f>
        <v/>
      </c>
      <c r="L11">
        <f>IFERROR(INDEX($C6:$C10,MATCH(1,INDEX(($T6:$T10=$C11)*1,0),0)),"")</f>
        <v/>
      </c>
      <c r="M11">
        <f>IF($L11="",0,IF(INDEX($G11:$K11,MATCH($L11,Partecipanti!$B$5:$B$9,0))=1,1,0))</f>
        <v/>
      </c>
      <c r="N11">
        <f>IF($G11=0,100000,IF(Partecipanti!$B$5=$C11,100000,COUNTIF($S$6:$S10,Partecipanti!$B$5)*100+MOD(1-MATCH($C11,Partecipanti!$B$5:$B$9,0)-1,5)))</f>
        <v/>
      </c>
      <c r="O11">
        <f>IF($H11=0,100000,IF(Partecipanti!$B$6=$C11,100000,COUNTIF($S$6:$S10,Partecipanti!$B$6)*100+MOD(2-MATCH($C11,Partecipanti!$B$5:$B$9,0)-1,5)))</f>
        <v/>
      </c>
      <c r="P11">
        <f>IF($I11=0,100000,IF(Partecipanti!$B$7=$C11,100000,COUNTIF($S$6:$S10,Partecipanti!$B$7)*100+MOD(3-MATCH($C11,Partecipanti!$B$5:$B$9,0)-1,5)))</f>
        <v/>
      </c>
      <c r="Q11">
        <f>IF($J11=0,100000,IF(Partecipanti!$B$8=$C11,100000,COUNTIF($S$6:$S10,Partecipanti!$B$8)*100+MOD(4-MATCH($C11,Partecipanti!$B$5:$B$9,0)-1,5)))</f>
        <v/>
      </c>
      <c r="R11">
        <f>IF($K11=0,100000,IF(Partecipanti!$B$9=$C11,100000,COUNTIF($S$6:$S10,Partecipanti!$B$9)*100+MOD(5-MATCH($C11,Partecipanti!$B$5:$B$9,0)-1,5)))</f>
        <v/>
      </c>
      <c r="S11">
        <f>IF(OR($E11=0,$M11=1),"",IF(MIN($N11:$R11)&gt;=100000,"DA ASSEGNARE",INDEX(Partecipanti!$B$5:$B$9,MATCH(MIN($N11:$R11),$N11:$R11,0))))</f>
        <v/>
      </c>
      <c r="T11">
        <f>IF(AND($F11=1,$S11&lt;&gt;"",$S11&lt;&gt;"DA ASSEGNARE"),$S11,"")</f>
        <v/>
      </c>
      <c r="U11">
        <f>IF($M11=1,$L11,IF($E11=0,$C11,$S11))</f>
        <v/>
      </c>
      <c r="V11">
        <f>IF($M11=1,"Recupero",IF($E11=0,"Ordinario",IF($S11="DA ASSEGNARE","DA ASSEGNARE","Sostituzione (doppio turno)")))</f>
        <v/>
      </c>
      <c r="W11">
        <f>IF(OR($M11=1,$E11=1),$C11,"")</f>
        <v/>
      </c>
      <c r="X11">
        <f>IF($M11=1,$L11&amp;" recupera il turno saltato nella settimana "&amp;($A11-1)&amp;"; "&amp;$C11&amp;" a riposo compensativo",IF($E11=1,$C11&amp;" assente ("&amp;$D11&amp;")"&amp;IF($S11="DA ASSEGNARE","; nessun sostituto disponibile","; sostituisce "&amp;$S11&amp;" con doppio turno")&amp;IF($F11=1,"; turno da recuperare nella settimana "&amp;($A11+1),"; turno non da recuperare"),""))</f>
        <v/>
      </c>
      <c r="Y11">
        <f>IF($M11=1,"recupera il turno saltato nella settimana "&amp;($A11-1)&amp;", "&amp;$C11&amp;" a riposo",IF($E11=1,IF($S11="DA ASSEGNARE","turno da assegnare: "&amp;$C11&amp;" assente","in sostituzione di "&amp;$C11&amp;", doppio turno"),""))</f>
        <v/>
      </c>
    </row>
    <row r="12">
      <c r="A12" t="n">
        <v>2</v>
      </c>
      <c r="B12" s="43" t="n">
        <v>46301</v>
      </c>
      <c r="C12">
        <f>Partecipanti!$B$6</f>
        <v/>
      </c>
      <c r="D12">
        <f>IF(COUNTIFS(A_PERS,$C12,A_SETT,$A12,A_TIPO,"Licenza - settimana intera")&gt;0,"Licenza - settimana intera",IF(COUNTIFS(A_PERS,$C12,A_SETT,$A12,A_TIPO,"Attività esterna - settimana intera")&gt;0,"Attività esterna - settimana intera",IF(COUNTIFS(A_PERS,$C12,A_DATA,$B12)&gt;0,INDEX(A_TIPO,MATCH(1,INDEX((A_PERS=$C12)*(A_DATA=$B12),0),0)),"")))</f>
        <v/>
      </c>
      <c r="E12">
        <f>IF($D12="",0,1)</f>
        <v/>
      </c>
      <c r="F12">
        <f>IF($E12=0,0,IF(OR($D12="Licenza - settimana intera",$D12="Attività esterna - settimana intera"),0,1))</f>
        <v/>
      </c>
      <c r="G12">
        <f>IF(COUNTIFS(A_PERS,Partecipanti!$B$5,A_DATA,$B12)+COUNTIFS(A_PERS,Partecipanti!$B$5,A_SETT,$A12,A_TIPO,"Licenza - settimana intera")+COUNTIFS(A_PERS,Partecipanti!$B$5,A_SETT,$A12,A_TIPO,"Attività esterna - settimana intera")&gt;0,0,1)</f>
        <v/>
      </c>
      <c r="H12">
        <f>IF(COUNTIFS(A_PERS,Partecipanti!$B$6,A_DATA,$B12)+COUNTIFS(A_PERS,Partecipanti!$B$6,A_SETT,$A12,A_TIPO,"Licenza - settimana intera")+COUNTIFS(A_PERS,Partecipanti!$B$6,A_SETT,$A12,A_TIPO,"Attività esterna - settimana intera")&gt;0,0,1)</f>
        <v/>
      </c>
      <c r="I12">
        <f>IF(COUNTIFS(A_PERS,Partecipanti!$B$7,A_DATA,$B12)+COUNTIFS(A_PERS,Partecipanti!$B$7,A_SETT,$A12,A_TIPO,"Licenza - settimana intera")+COUNTIFS(A_PERS,Partecipanti!$B$7,A_SETT,$A12,A_TIPO,"Attività esterna - settimana intera")&gt;0,0,1)</f>
        <v/>
      </c>
      <c r="J12">
        <f>IF(COUNTIFS(A_PERS,Partecipanti!$B$8,A_DATA,$B12)+COUNTIFS(A_PERS,Partecipanti!$B$8,A_SETT,$A12,A_TIPO,"Licenza - settimana intera")+COUNTIFS(A_PERS,Partecipanti!$B$8,A_SETT,$A12,A_TIPO,"Attività esterna - settimana intera")&gt;0,0,1)</f>
        <v/>
      </c>
      <c r="K12">
        <f>IF(COUNTIFS(A_PERS,Partecipanti!$B$9,A_DATA,$B12)+COUNTIFS(A_PERS,Partecipanti!$B$9,A_SETT,$A12,A_TIPO,"Licenza - settimana intera")+COUNTIFS(A_PERS,Partecipanti!$B$9,A_SETT,$A12,A_TIPO,"Attività esterna - settimana intera")&gt;0,0,1)</f>
        <v/>
      </c>
      <c r="L12">
        <f>IFERROR(INDEX($C6:$C10,MATCH(1,INDEX(($T6:$T10=$C12)*1,0),0)),"")</f>
        <v/>
      </c>
      <c r="M12">
        <f>IF($L12="",0,IF(INDEX($G12:$K12,MATCH($L12,Partecipanti!$B$5:$B$9,0))=1,1,0))</f>
        <v/>
      </c>
      <c r="N12">
        <f>IF($G12=0,100000,IF(Partecipanti!$B$5=$C12,100000,COUNTIF($S$6:$S11,Partecipanti!$B$5)*100+MOD(1-MATCH($C12,Partecipanti!$B$5:$B$9,0)-1,5)))</f>
        <v/>
      </c>
      <c r="O12">
        <f>IF($H12=0,100000,IF(Partecipanti!$B$6=$C12,100000,COUNTIF($S$6:$S11,Partecipanti!$B$6)*100+MOD(2-MATCH($C12,Partecipanti!$B$5:$B$9,0)-1,5)))</f>
        <v/>
      </c>
      <c r="P12">
        <f>IF($I12=0,100000,IF(Partecipanti!$B$7=$C12,100000,COUNTIF($S$6:$S11,Partecipanti!$B$7)*100+MOD(3-MATCH($C12,Partecipanti!$B$5:$B$9,0)-1,5)))</f>
        <v/>
      </c>
      <c r="Q12">
        <f>IF($J12=0,100000,IF(Partecipanti!$B$8=$C12,100000,COUNTIF($S$6:$S11,Partecipanti!$B$8)*100+MOD(4-MATCH($C12,Partecipanti!$B$5:$B$9,0)-1,5)))</f>
        <v/>
      </c>
      <c r="R12">
        <f>IF($K12=0,100000,IF(Partecipanti!$B$9=$C12,100000,COUNTIF($S$6:$S11,Partecipanti!$B$9)*100+MOD(5-MATCH($C12,Partecipanti!$B$5:$B$9,0)-1,5)))</f>
        <v/>
      </c>
      <c r="S12">
        <f>IF(OR($E12=0,$M12=1),"",IF(MIN($N12:$R12)&gt;=100000,"DA ASSEGNARE",INDEX(Partecipanti!$B$5:$B$9,MATCH(MIN($N12:$R12),$N12:$R12,0))))</f>
        <v/>
      </c>
      <c r="T12">
        <f>IF(AND($F12=1,$S12&lt;&gt;"",$S12&lt;&gt;"DA ASSEGNARE"),$S12,"")</f>
        <v/>
      </c>
      <c r="U12">
        <f>IF($M12=1,$L12,IF($E12=0,$C12,$S12))</f>
        <v/>
      </c>
      <c r="V12">
        <f>IF($M12=1,"Recupero",IF($E12=0,"Ordinario",IF($S12="DA ASSEGNARE","DA ASSEGNARE","Sostituzione (doppio turno)")))</f>
        <v/>
      </c>
      <c r="W12">
        <f>IF(OR($M12=1,$E12=1),$C12,"")</f>
        <v/>
      </c>
      <c r="X12">
        <f>IF($M12=1,$L12&amp;" recupera il turno saltato nella settimana "&amp;($A12-1)&amp;"; "&amp;$C12&amp;" a riposo compensativo",IF($E12=1,$C12&amp;" assente ("&amp;$D12&amp;")"&amp;IF($S12="DA ASSEGNARE","; nessun sostituto disponibile","; sostituisce "&amp;$S12&amp;" con doppio turno")&amp;IF($F12=1,"; turno da recuperare nella settimana "&amp;($A12+1),"; turno non da recuperare"),""))</f>
        <v/>
      </c>
      <c r="Y12">
        <f>IF($M12=1,"recupera il turno saltato nella settimana "&amp;($A12-1)&amp;", "&amp;$C12&amp;" a riposo",IF($E12=1,IF($S12="DA ASSEGNARE","turno da assegnare: "&amp;$C12&amp;" assente","in sostituzione di "&amp;$C12&amp;", doppio turno"),""))</f>
        <v/>
      </c>
    </row>
    <row r="13">
      <c r="A13" t="n">
        <v>2</v>
      </c>
      <c r="B13" s="43" t="n">
        <v>46302</v>
      </c>
      <c r="C13">
        <f>Partecipanti!$B$7</f>
        <v/>
      </c>
      <c r="D13">
        <f>IF(COUNTIFS(A_PERS,$C13,A_SETT,$A13,A_TIPO,"Licenza - settimana intera")&gt;0,"Licenza - settimana intera",IF(COUNTIFS(A_PERS,$C13,A_SETT,$A13,A_TIPO,"Attività esterna - settimana intera")&gt;0,"Attività esterna - settimana intera",IF(COUNTIFS(A_PERS,$C13,A_DATA,$B13)&gt;0,INDEX(A_TIPO,MATCH(1,INDEX((A_PERS=$C13)*(A_DATA=$B13),0),0)),"")))</f>
        <v/>
      </c>
      <c r="E13">
        <f>IF($D13="",0,1)</f>
        <v/>
      </c>
      <c r="F13">
        <f>IF($E13=0,0,IF(OR($D13="Licenza - settimana intera",$D13="Attività esterna - settimana intera"),0,1))</f>
        <v/>
      </c>
      <c r="G13">
        <f>IF(COUNTIFS(A_PERS,Partecipanti!$B$5,A_DATA,$B13)+COUNTIFS(A_PERS,Partecipanti!$B$5,A_SETT,$A13,A_TIPO,"Licenza - settimana intera")+COUNTIFS(A_PERS,Partecipanti!$B$5,A_SETT,$A13,A_TIPO,"Attività esterna - settimana intera")&gt;0,0,1)</f>
        <v/>
      </c>
      <c r="H13">
        <f>IF(COUNTIFS(A_PERS,Partecipanti!$B$6,A_DATA,$B13)+COUNTIFS(A_PERS,Partecipanti!$B$6,A_SETT,$A13,A_TIPO,"Licenza - settimana intera")+COUNTIFS(A_PERS,Partecipanti!$B$6,A_SETT,$A13,A_TIPO,"Attività esterna - settimana intera")&gt;0,0,1)</f>
        <v/>
      </c>
      <c r="I13">
        <f>IF(COUNTIFS(A_PERS,Partecipanti!$B$7,A_DATA,$B13)+COUNTIFS(A_PERS,Partecipanti!$B$7,A_SETT,$A13,A_TIPO,"Licenza - settimana intera")+COUNTIFS(A_PERS,Partecipanti!$B$7,A_SETT,$A13,A_TIPO,"Attività esterna - settimana intera")&gt;0,0,1)</f>
        <v/>
      </c>
      <c r="J13">
        <f>IF(COUNTIFS(A_PERS,Partecipanti!$B$8,A_DATA,$B13)+COUNTIFS(A_PERS,Partecipanti!$B$8,A_SETT,$A13,A_TIPO,"Licenza - settimana intera")+COUNTIFS(A_PERS,Partecipanti!$B$8,A_SETT,$A13,A_TIPO,"Attività esterna - settimana intera")&gt;0,0,1)</f>
        <v/>
      </c>
      <c r="K13">
        <f>IF(COUNTIFS(A_PERS,Partecipanti!$B$9,A_DATA,$B13)+COUNTIFS(A_PERS,Partecipanti!$B$9,A_SETT,$A13,A_TIPO,"Licenza - settimana intera")+COUNTIFS(A_PERS,Partecipanti!$B$9,A_SETT,$A13,A_TIPO,"Attività esterna - settimana intera")&gt;0,0,1)</f>
        <v/>
      </c>
      <c r="L13">
        <f>IFERROR(INDEX($C6:$C10,MATCH(1,INDEX(($T6:$T10=$C13)*1,0),0)),"")</f>
        <v/>
      </c>
      <c r="M13">
        <f>IF($L13="",0,IF(INDEX($G13:$K13,MATCH($L13,Partecipanti!$B$5:$B$9,0))=1,1,0))</f>
        <v/>
      </c>
      <c r="N13">
        <f>IF($G13=0,100000,IF(Partecipanti!$B$5=$C13,100000,COUNTIF($S$6:$S12,Partecipanti!$B$5)*100+MOD(1-MATCH($C13,Partecipanti!$B$5:$B$9,0)-1,5)))</f>
        <v/>
      </c>
      <c r="O13">
        <f>IF($H13=0,100000,IF(Partecipanti!$B$6=$C13,100000,COUNTIF($S$6:$S12,Partecipanti!$B$6)*100+MOD(2-MATCH($C13,Partecipanti!$B$5:$B$9,0)-1,5)))</f>
        <v/>
      </c>
      <c r="P13">
        <f>IF($I13=0,100000,IF(Partecipanti!$B$7=$C13,100000,COUNTIF($S$6:$S12,Partecipanti!$B$7)*100+MOD(3-MATCH($C13,Partecipanti!$B$5:$B$9,0)-1,5)))</f>
        <v/>
      </c>
      <c r="Q13">
        <f>IF($J13=0,100000,IF(Partecipanti!$B$8=$C13,100000,COUNTIF($S$6:$S12,Partecipanti!$B$8)*100+MOD(4-MATCH($C13,Partecipanti!$B$5:$B$9,0)-1,5)))</f>
        <v/>
      </c>
      <c r="R13">
        <f>IF($K13=0,100000,IF(Partecipanti!$B$9=$C13,100000,COUNTIF($S$6:$S12,Partecipanti!$B$9)*100+MOD(5-MATCH($C13,Partecipanti!$B$5:$B$9,0)-1,5)))</f>
        <v/>
      </c>
      <c r="S13">
        <f>IF(OR($E13=0,$M13=1),"",IF(MIN($N13:$R13)&gt;=100000,"DA ASSEGNARE",INDEX(Partecipanti!$B$5:$B$9,MATCH(MIN($N13:$R13),$N13:$R13,0))))</f>
        <v/>
      </c>
      <c r="T13">
        <f>IF(AND($F13=1,$S13&lt;&gt;"",$S13&lt;&gt;"DA ASSEGNARE"),$S13,"")</f>
        <v/>
      </c>
      <c r="U13">
        <f>IF($M13=1,$L13,IF($E13=0,$C13,$S13))</f>
        <v/>
      </c>
      <c r="V13">
        <f>IF($M13=1,"Recupero",IF($E13=0,"Ordinario",IF($S13="DA ASSEGNARE","DA ASSEGNARE","Sostituzione (doppio turno)")))</f>
        <v/>
      </c>
      <c r="W13">
        <f>IF(OR($M13=1,$E13=1),$C13,"")</f>
        <v/>
      </c>
      <c r="X13">
        <f>IF($M13=1,$L13&amp;" recupera il turno saltato nella settimana "&amp;($A13-1)&amp;"; "&amp;$C13&amp;" a riposo compensativo",IF($E13=1,$C13&amp;" assente ("&amp;$D13&amp;")"&amp;IF($S13="DA ASSEGNARE","; nessun sostituto disponibile","; sostituisce "&amp;$S13&amp;" con doppio turno")&amp;IF($F13=1,"; turno da recuperare nella settimana "&amp;($A13+1),"; turno non da recuperare"),""))</f>
        <v/>
      </c>
      <c r="Y13">
        <f>IF($M13=1,"recupera il turno saltato nella settimana "&amp;($A13-1)&amp;", "&amp;$C13&amp;" a riposo",IF($E13=1,IF($S13="DA ASSEGNARE","turno da assegnare: "&amp;$C13&amp;" assente","in sostituzione di "&amp;$C13&amp;", doppio turno"),""))</f>
        <v/>
      </c>
    </row>
    <row r="14">
      <c r="A14" t="n">
        <v>2</v>
      </c>
      <c r="B14" s="43" t="n">
        <v>46303</v>
      </c>
      <c r="C14">
        <f>Partecipanti!$B$8</f>
        <v/>
      </c>
      <c r="D14">
        <f>IF(COUNTIFS(A_PERS,$C14,A_SETT,$A14,A_TIPO,"Licenza - settimana intera")&gt;0,"Licenza - settimana intera",IF(COUNTIFS(A_PERS,$C14,A_SETT,$A14,A_TIPO,"Attività esterna - settimana intera")&gt;0,"Attività esterna - settimana intera",IF(COUNTIFS(A_PERS,$C14,A_DATA,$B14)&gt;0,INDEX(A_TIPO,MATCH(1,INDEX((A_PERS=$C14)*(A_DATA=$B14),0),0)),"")))</f>
        <v/>
      </c>
      <c r="E14">
        <f>IF($D14="",0,1)</f>
        <v/>
      </c>
      <c r="F14">
        <f>IF($E14=0,0,IF(OR($D14="Licenza - settimana intera",$D14="Attività esterna - settimana intera"),0,1))</f>
        <v/>
      </c>
      <c r="G14">
        <f>IF(COUNTIFS(A_PERS,Partecipanti!$B$5,A_DATA,$B14)+COUNTIFS(A_PERS,Partecipanti!$B$5,A_SETT,$A14,A_TIPO,"Licenza - settimana intera")+COUNTIFS(A_PERS,Partecipanti!$B$5,A_SETT,$A14,A_TIPO,"Attività esterna - settimana intera")&gt;0,0,1)</f>
        <v/>
      </c>
      <c r="H14">
        <f>IF(COUNTIFS(A_PERS,Partecipanti!$B$6,A_DATA,$B14)+COUNTIFS(A_PERS,Partecipanti!$B$6,A_SETT,$A14,A_TIPO,"Licenza - settimana intera")+COUNTIFS(A_PERS,Partecipanti!$B$6,A_SETT,$A14,A_TIPO,"Attività esterna - settimana intera")&gt;0,0,1)</f>
        <v/>
      </c>
      <c r="I14">
        <f>IF(COUNTIFS(A_PERS,Partecipanti!$B$7,A_DATA,$B14)+COUNTIFS(A_PERS,Partecipanti!$B$7,A_SETT,$A14,A_TIPO,"Licenza - settimana intera")+COUNTIFS(A_PERS,Partecipanti!$B$7,A_SETT,$A14,A_TIPO,"Attività esterna - settimana intera")&gt;0,0,1)</f>
        <v/>
      </c>
      <c r="J14">
        <f>IF(COUNTIFS(A_PERS,Partecipanti!$B$8,A_DATA,$B14)+COUNTIFS(A_PERS,Partecipanti!$B$8,A_SETT,$A14,A_TIPO,"Licenza - settimana intera")+COUNTIFS(A_PERS,Partecipanti!$B$8,A_SETT,$A14,A_TIPO,"Attività esterna - settimana intera")&gt;0,0,1)</f>
        <v/>
      </c>
      <c r="K14">
        <f>IF(COUNTIFS(A_PERS,Partecipanti!$B$9,A_DATA,$B14)+COUNTIFS(A_PERS,Partecipanti!$B$9,A_SETT,$A14,A_TIPO,"Licenza - settimana intera")+COUNTIFS(A_PERS,Partecipanti!$B$9,A_SETT,$A14,A_TIPO,"Attività esterna - settimana intera")&gt;0,0,1)</f>
        <v/>
      </c>
      <c r="L14">
        <f>IFERROR(INDEX($C6:$C10,MATCH(1,INDEX(($T6:$T10=$C14)*1,0),0)),"")</f>
        <v/>
      </c>
      <c r="M14">
        <f>IF($L14="",0,IF(INDEX($G14:$K14,MATCH($L14,Partecipanti!$B$5:$B$9,0))=1,1,0))</f>
        <v/>
      </c>
      <c r="N14">
        <f>IF($G14=0,100000,IF(Partecipanti!$B$5=$C14,100000,COUNTIF($S$6:$S13,Partecipanti!$B$5)*100+MOD(1-MATCH($C14,Partecipanti!$B$5:$B$9,0)-1,5)))</f>
        <v/>
      </c>
      <c r="O14">
        <f>IF($H14=0,100000,IF(Partecipanti!$B$6=$C14,100000,COUNTIF($S$6:$S13,Partecipanti!$B$6)*100+MOD(2-MATCH($C14,Partecipanti!$B$5:$B$9,0)-1,5)))</f>
        <v/>
      </c>
      <c r="P14">
        <f>IF($I14=0,100000,IF(Partecipanti!$B$7=$C14,100000,COUNTIF($S$6:$S13,Partecipanti!$B$7)*100+MOD(3-MATCH($C14,Partecipanti!$B$5:$B$9,0)-1,5)))</f>
        <v/>
      </c>
      <c r="Q14">
        <f>IF($J14=0,100000,IF(Partecipanti!$B$8=$C14,100000,COUNTIF($S$6:$S13,Partecipanti!$B$8)*100+MOD(4-MATCH($C14,Partecipanti!$B$5:$B$9,0)-1,5)))</f>
        <v/>
      </c>
      <c r="R14">
        <f>IF($K14=0,100000,IF(Partecipanti!$B$9=$C14,100000,COUNTIF($S$6:$S13,Partecipanti!$B$9)*100+MOD(5-MATCH($C14,Partecipanti!$B$5:$B$9,0)-1,5)))</f>
        <v/>
      </c>
      <c r="S14">
        <f>IF(OR($E14=0,$M14=1),"",IF(MIN($N14:$R14)&gt;=100000,"DA ASSEGNARE",INDEX(Partecipanti!$B$5:$B$9,MATCH(MIN($N14:$R14),$N14:$R14,0))))</f>
        <v/>
      </c>
      <c r="T14">
        <f>IF(AND($F14=1,$S14&lt;&gt;"",$S14&lt;&gt;"DA ASSEGNARE"),$S14,"")</f>
        <v/>
      </c>
      <c r="U14">
        <f>IF($M14=1,$L14,IF($E14=0,$C14,$S14))</f>
        <v/>
      </c>
      <c r="V14">
        <f>IF($M14=1,"Recupero",IF($E14=0,"Ordinario",IF($S14="DA ASSEGNARE","DA ASSEGNARE","Sostituzione (doppio turno)")))</f>
        <v/>
      </c>
      <c r="W14">
        <f>IF(OR($M14=1,$E14=1),$C14,"")</f>
        <v/>
      </c>
      <c r="X14">
        <f>IF($M14=1,$L14&amp;" recupera il turno saltato nella settimana "&amp;($A14-1)&amp;"; "&amp;$C14&amp;" a riposo compensativo",IF($E14=1,$C14&amp;" assente ("&amp;$D14&amp;")"&amp;IF($S14="DA ASSEGNARE","; nessun sostituto disponibile","; sostituisce "&amp;$S14&amp;" con doppio turno")&amp;IF($F14=1,"; turno da recuperare nella settimana "&amp;($A14+1),"; turno non da recuperare"),""))</f>
        <v/>
      </c>
      <c r="Y14">
        <f>IF($M14=1,"recupera il turno saltato nella settimana "&amp;($A14-1)&amp;", "&amp;$C14&amp;" a riposo",IF($E14=1,IF($S14="DA ASSEGNARE","turno da assegnare: "&amp;$C14&amp;" assente","in sostituzione di "&amp;$C14&amp;", doppio turno"),""))</f>
        <v/>
      </c>
    </row>
    <row r="15">
      <c r="A15" t="n">
        <v>2</v>
      </c>
      <c r="B15" s="43" t="n">
        <v>46304</v>
      </c>
      <c r="C15">
        <f>Partecipanti!$B$9</f>
        <v/>
      </c>
      <c r="D15">
        <f>IF(COUNTIFS(A_PERS,$C15,A_SETT,$A15,A_TIPO,"Licenza - settimana intera")&gt;0,"Licenza - settimana intera",IF(COUNTIFS(A_PERS,$C15,A_SETT,$A15,A_TIPO,"Attività esterna - settimana intera")&gt;0,"Attività esterna - settimana intera",IF(COUNTIFS(A_PERS,$C15,A_DATA,$B15)&gt;0,INDEX(A_TIPO,MATCH(1,INDEX((A_PERS=$C15)*(A_DATA=$B15),0),0)),"")))</f>
        <v/>
      </c>
      <c r="E15">
        <f>IF($D15="",0,1)</f>
        <v/>
      </c>
      <c r="F15">
        <f>IF($E15=0,0,IF(OR($D15="Licenza - settimana intera",$D15="Attività esterna - settimana intera"),0,1))</f>
        <v/>
      </c>
      <c r="G15">
        <f>IF(COUNTIFS(A_PERS,Partecipanti!$B$5,A_DATA,$B15)+COUNTIFS(A_PERS,Partecipanti!$B$5,A_SETT,$A15,A_TIPO,"Licenza - settimana intera")+COUNTIFS(A_PERS,Partecipanti!$B$5,A_SETT,$A15,A_TIPO,"Attività esterna - settimana intera")&gt;0,0,1)</f>
        <v/>
      </c>
      <c r="H15">
        <f>IF(COUNTIFS(A_PERS,Partecipanti!$B$6,A_DATA,$B15)+COUNTIFS(A_PERS,Partecipanti!$B$6,A_SETT,$A15,A_TIPO,"Licenza - settimana intera")+COUNTIFS(A_PERS,Partecipanti!$B$6,A_SETT,$A15,A_TIPO,"Attività esterna - settimana intera")&gt;0,0,1)</f>
        <v/>
      </c>
      <c r="I15">
        <f>IF(COUNTIFS(A_PERS,Partecipanti!$B$7,A_DATA,$B15)+COUNTIFS(A_PERS,Partecipanti!$B$7,A_SETT,$A15,A_TIPO,"Licenza - settimana intera")+COUNTIFS(A_PERS,Partecipanti!$B$7,A_SETT,$A15,A_TIPO,"Attività esterna - settimana intera")&gt;0,0,1)</f>
        <v/>
      </c>
      <c r="J15">
        <f>IF(COUNTIFS(A_PERS,Partecipanti!$B$8,A_DATA,$B15)+COUNTIFS(A_PERS,Partecipanti!$B$8,A_SETT,$A15,A_TIPO,"Licenza - settimana intera")+COUNTIFS(A_PERS,Partecipanti!$B$8,A_SETT,$A15,A_TIPO,"Attività esterna - settimana intera")&gt;0,0,1)</f>
        <v/>
      </c>
      <c r="K15">
        <f>IF(COUNTIFS(A_PERS,Partecipanti!$B$9,A_DATA,$B15)+COUNTIFS(A_PERS,Partecipanti!$B$9,A_SETT,$A15,A_TIPO,"Licenza - settimana intera")+COUNTIFS(A_PERS,Partecipanti!$B$9,A_SETT,$A15,A_TIPO,"Attività esterna - settimana intera")&gt;0,0,1)</f>
        <v/>
      </c>
      <c r="L15">
        <f>IFERROR(INDEX($C6:$C10,MATCH(1,INDEX(($T6:$T10=$C15)*1,0),0)),"")</f>
        <v/>
      </c>
      <c r="M15">
        <f>IF($L15="",0,IF(INDEX($G15:$K15,MATCH($L15,Partecipanti!$B$5:$B$9,0))=1,1,0))</f>
        <v/>
      </c>
      <c r="N15">
        <f>IF($G15=0,100000,IF(Partecipanti!$B$5=$C15,100000,COUNTIF($S$6:$S14,Partecipanti!$B$5)*100+MOD(1-MATCH($C15,Partecipanti!$B$5:$B$9,0)-1,5)))</f>
        <v/>
      </c>
      <c r="O15">
        <f>IF($H15=0,100000,IF(Partecipanti!$B$6=$C15,100000,COUNTIF($S$6:$S14,Partecipanti!$B$6)*100+MOD(2-MATCH($C15,Partecipanti!$B$5:$B$9,0)-1,5)))</f>
        <v/>
      </c>
      <c r="P15">
        <f>IF($I15=0,100000,IF(Partecipanti!$B$7=$C15,100000,COUNTIF($S$6:$S14,Partecipanti!$B$7)*100+MOD(3-MATCH($C15,Partecipanti!$B$5:$B$9,0)-1,5)))</f>
        <v/>
      </c>
      <c r="Q15">
        <f>IF($J15=0,100000,IF(Partecipanti!$B$8=$C15,100000,COUNTIF($S$6:$S14,Partecipanti!$B$8)*100+MOD(4-MATCH($C15,Partecipanti!$B$5:$B$9,0)-1,5)))</f>
        <v/>
      </c>
      <c r="R15">
        <f>IF($K15=0,100000,IF(Partecipanti!$B$9=$C15,100000,COUNTIF($S$6:$S14,Partecipanti!$B$9)*100+MOD(5-MATCH($C15,Partecipanti!$B$5:$B$9,0)-1,5)))</f>
        <v/>
      </c>
      <c r="S15">
        <f>IF(OR($E15=0,$M15=1),"",IF(MIN($N15:$R15)&gt;=100000,"DA ASSEGNARE",INDEX(Partecipanti!$B$5:$B$9,MATCH(MIN($N15:$R15),$N15:$R15,0))))</f>
        <v/>
      </c>
      <c r="T15">
        <f>IF(AND($F15=1,$S15&lt;&gt;"",$S15&lt;&gt;"DA ASSEGNARE"),$S15,"")</f>
        <v/>
      </c>
      <c r="U15">
        <f>IF($M15=1,$L15,IF($E15=0,$C15,$S15))</f>
        <v/>
      </c>
      <c r="V15">
        <f>IF($M15=1,"Recupero",IF($E15=0,"Ordinario",IF($S15="DA ASSEGNARE","DA ASSEGNARE","Sostituzione (doppio turno)")))</f>
        <v/>
      </c>
      <c r="W15">
        <f>IF(OR($M15=1,$E15=1),$C15,"")</f>
        <v/>
      </c>
      <c r="X15">
        <f>IF($M15=1,$L15&amp;" recupera il turno saltato nella settimana "&amp;($A15-1)&amp;"; "&amp;$C15&amp;" a riposo compensativo",IF($E15=1,$C15&amp;" assente ("&amp;$D15&amp;")"&amp;IF($S15="DA ASSEGNARE","; nessun sostituto disponibile","; sostituisce "&amp;$S15&amp;" con doppio turno")&amp;IF($F15=1,"; turno da recuperare nella settimana "&amp;($A15+1),"; turno non da recuperare"),""))</f>
        <v/>
      </c>
      <c r="Y15">
        <f>IF($M15=1,"recupera il turno saltato nella settimana "&amp;($A15-1)&amp;", "&amp;$C15&amp;" a riposo",IF($E15=1,IF($S15="DA ASSEGNARE","turno da assegnare: "&amp;$C15&amp;" assente","in sostituzione di "&amp;$C15&amp;", doppio turno"),""))</f>
        <v/>
      </c>
    </row>
    <row r="16">
      <c r="A16" t="n">
        <v>3</v>
      </c>
      <c r="B16" s="43" t="n">
        <v>46307</v>
      </c>
      <c r="C16">
        <f>Partecipanti!$B$5</f>
        <v/>
      </c>
      <c r="D16">
        <f>IF(COUNTIFS(A_PERS,$C16,A_SETT,$A16,A_TIPO,"Licenza - settimana intera")&gt;0,"Licenza - settimana intera",IF(COUNTIFS(A_PERS,$C16,A_SETT,$A16,A_TIPO,"Attività esterna - settimana intera")&gt;0,"Attività esterna - settimana intera",IF(COUNTIFS(A_PERS,$C16,A_DATA,$B16)&gt;0,INDEX(A_TIPO,MATCH(1,INDEX((A_PERS=$C16)*(A_DATA=$B16),0),0)),"")))</f>
        <v/>
      </c>
      <c r="E16">
        <f>IF($D16="",0,1)</f>
        <v/>
      </c>
      <c r="F16">
        <f>IF($E16=0,0,IF(OR($D16="Licenza - settimana intera",$D16="Attività esterna - settimana intera"),0,1))</f>
        <v/>
      </c>
      <c r="G16">
        <f>IF(COUNTIFS(A_PERS,Partecipanti!$B$5,A_DATA,$B16)+COUNTIFS(A_PERS,Partecipanti!$B$5,A_SETT,$A16,A_TIPO,"Licenza - settimana intera")+COUNTIFS(A_PERS,Partecipanti!$B$5,A_SETT,$A16,A_TIPO,"Attività esterna - settimana intera")&gt;0,0,1)</f>
        <v/>
      </c>
      <c r="H16">
        <f>IF(COUNTIFS(A_PERS,Partecipanti!$B$6,A_DATA,$B16)+COUNTIFS(A_PERS,Partecipanti!$B$6,A_SETT,$A16,A_TIPO,"Licenza - settimana intera")+COUNTIFS(A_PERS,Partecipanti!$B$6,A_SETT,$A16,A_TIPO,"Attività esterna - settimana intera")&gt;0,0,1)</f>
        <v/>
      </c>
      <c r="I16">
        <f>IF(COUNTIFS(A_PERS,Partecipanti!$B$7,A_DATA,$B16)+COUNTIFS(A_PERS,Partecipanti!$B$7,A_SETT,$A16,A_TIPO,"Licenza - settimana intera")+COUNTIFS(A_PERS,Partecipanti!$B$7,A_SETT,$A16,A_TIPO,"Attività esterna - settimana intera")&gt;0,0,1)</f>
        <v/>
      </c>
      <c r="J16">
        <f>IF(COUNTIFS(A_PERS,Partecipanti!$B$8,A_DATA,$B16)+COUNTIFS(A_PERS,Partecipanti!$B$8,A_SETT,$A16,A_TIPO,"Licenza - settimana intera")+COUNTIFS(A_PERS,Partecipanti!$B$8,A_SETT,$A16,A_TIPO,"Attività esterna - settimana intera")&gt;0,0,1)</f>
        <v/>
      </c>
      <c r="K16">
        <f>IF(COUNTIFS(A_PERS,Partecipanti!$B$9,A_DATA,$B16)+COUNTIFS(A_PERS,Partecipanti!$B$9,A_SETT,$A16,A_TIPO,"Licenza - settimana intera")+COUNTIFS(A_PERS,Partecipanti!$B$9,A_SETT,$A16,A_TIPO,"Attività esterna - settimana intera")&gt;0,0,1)</f>
        <v/>
      </c>
      <c r="L16">
        <f>IFERROR(INDEX($C11:$C15,MATCH(1,INDEX(($T11:$T15=$C16)*1,0),0)),"")</f>
        <v/>
      </c>
      <c r="M16">
        <f>IF($L16="",0,IF(INDEX($G16:$K16,MATCH($L16,Partecipanti!$B$5:$B$9,0))=1,1,0))</f>
        <v/>
      </c>
      <c r="N16">
        <f>IF($G16=0,100000,IF(Partecipanti!$B$5=$C16,100000,COUNTIF($S$6:$S15,Partecipanti!$B$5)*100+MOD(1-MATCH($C16,Partecipanti!$B$5:$B$9,0)-1,5)))</f>
        <v/>
      </c>
      <c r="O16">
        <f>IF($H16=0,100000,IF(Partecipanti!$B$6=$C16,100000,COUNTIF($S$6:$S15,Partecipanti!$B$6)*100+MOD(2-MATCH($C16,Partecipanti!$B$5:$B$9,0)-1,5)))</f>
        <v/>
      </c>
      <c r="P16">
        <f>IF($I16=0,100000,IF(Partecipanti!$B$7=$C16,100000,COUNTIF($S$6:$S15,Partecipanti!$B$7)*100+MOD(3-MATCH($C16,Partecipanti!$B$5:$B$9,0)-1,5)))</f>
        <v/>
      </c>
      <c r="Q16">
        <f>IF($J16=0,100000,IF(Partecipanti!$B$8=$C16,100000,COUNTIF($S$6:$S15,Partecipanti!$B$8)*100+MOD(4-MATCH($C16,Partecipanti!$B$5:$B$9,0)-1,5)))</f>
        <v/>
      </c>
      <c r="R16">
        <f>IF($K16=0,100000,IF(Partecipanti!$B$9=$C16,100000,COUNTIF($S$6:$S15,Partecipanti!$B$9)*100+MOD(5-MATCH($C16,Partecipanti!$B$5:$B$9,0)-1,5)))</f>
        <v/>
      </c>
      <c r="S16">
        <f>IF(OR($E16=0,$M16=1),"",IF(MIN($N16:$R16)&gt;=100000,"DA ASSEGNARE",INDEX(Partecipanti!$B$5:$B$9,MATCH(MIN($N16:$R16),$N16:$R16,0))))</f>
        <v/>
      </c>
      <c r="T16">
        <f>IF(AND($F16=1,$S16&lt;&gt;"",$S16&lt;&gt;"DA ASSEGNARE"),$S16,"")</f>
        <v/>
      </c>
      <c r="U16">
        <f>IF($M16=1,$L16,IF($E16=0,$C16,$S16))</f>
        <v/>
      </c>
      <c r="V16">
        <f>IF($M16=1,"Recupero",IF($E16=0,"Ordinario",IF($S16="DA ASSEGNARE","DA ASSEGNARE","Sostituzione (doppio turno)")))</f>
        <v/>
      </c>
      <c r="W16">
        <f>IF(OR($M16=1,$E16=1),$C16,"")</f>
        <v/>
      </c>
      <c r="X16">
        <f>IF($M16=1,$L16&amp;" recupera il turno saltato nella settimana "&amp;($A16-1)&amp;"; "&amp;$C16&amp;" a riposo compensativo",IF($E16=1,$C16&amp;" assente ("&amp;$D16&amp;")"&amp;IF($S16="DA ASSEGNARE","; nessun sostituto disponibile","; sostituisce "&amp;$S16&amp;" con doppio turno")&amp;IF($F16=1,"; turno da recuperare nella settimana "&amp;($A16+1),"; turno non da recuperare"),""))</f>
        <v/>
      </c>
      <c r="Y16">
        <f>IF($M16=1,"recupera il turno saltato nella settimana "&amp;($A16-1)&amp;", "&amp;$C16&amp;" a riposo",IF($E16=1,IF($S16="DA ASSEGNARE","turno da assegnare: "&amp;$C16&amp;" assente","in sostituzione di "&amp;$C16&amp;", doppio turno"),""))</f>
        <v/>
      </c>
    </row>
    <row r="17">
      <c r="A17" t="n">
        <v>3</v>
      </c>
      <c r="B17" s="43" t="n">
        <v>46308</v>
      </c>
      <c r="C17">
        <f>Partecipanti!$B$6</f>
        <v/>
      </c>
      <c r="D17">
        <f>IF(COUNTIFS(A_PERS,$C17,A_SETT,$A17,A_TIPO,"Licenza - settimana intera")&gt;0,"Licenza - settimana intera",IF(COUNTIFS(A_PERS,$C17,A_SETT,$A17,A_TIPO,"Attività esterna - settimana intera")&gt;0,"Attività esterna - settimana intera",IF(COUNTIFS(A_PERS,$C17,A_DATA,$B17)&gt;0,INDEX(A_TIPO,MATCH(1,INDEX((A_PERS=$C17)*(A_DATA=$B17),0),0)),"")))</f>
        <v/>
      </c>
      <c r="E17">
        <f>IF($D17="",0,1)</f>
        <v/>
      </c>
      <c r="F17">
        <f>IF($E17=0,0,IF(OR($D17="Licenza - settimana intera",$D17="Attività esterna - settimana intera"),0,1))</f>
        <v/>
      </c>
      <c r="G17">
        <f>IF(COUNTIFS(A_PERS,Partecipanti!$B$5,A_DATA,$B17)+COUNTIFS(A_PERS,Partecipanti!$B$5,A_SETT,$A17,A_TIPO,"Licenza - settimana intera")+COUNTIFS(A_PERS,Partecipanti!$B$5,A_SETT,$A17,A_TIPO,"Attività esterna - settimana intera")&gt;0,0,1)</f>
        <v/>
      </c>
      <c r="H17">
        <f>IF(COUNTIFS(A_PERS,Partecipanti!$B$6,A_DATA,$B17)+COUNTIFS(A_PERS,Partecipanti!$B$6,A_SETT,$A17,A_TIPO,"Licenza - settimana intera")+COUNTIFS(A_PERS,Partecipanti!$B$6,A_SETT,$A17,A_TIPO,"Attività esterna - settimana intera")&gt;0,0,1)</f>
        <v/>
      </c>
      <c r="I17">
        <f>IF(COUNTIFS(A_PERS,Partecipanti!$B$7,A_DATA,$B17)+COUNTIFS(A_PERS,Partecipanti!$B$7,A_SETT,$A17,A_TIPO,"Licenza - settimana intera")+COUNTIFS(A_PERS,Partecipanti!$B$7,A_SETT,$A17,A_TIPO,"Attività esterna - settimana intera")&gt;0,0,1)</f>
        <v/>
      </c>
      <c r="J17">
        <f>IF(COUNTIFS(A_PERS,Partecipanti!$B$8,A_DATA,$B17)+COUNTIFS(A_PERS,Partecipanti!$B$8,A_SETT,$A17,A_TIPO,"Licenza - settimana intera")+COUNTIFS(A_PERS,Partecipanti!$B$8,A_SETT,$A17,A_TIPO,"Attività esterna - settimana intera")&gt;0,0,1)</f>
        <v/>
      </c>
      <c r="K17">
        <f>IF(COUNTIFS(A_PERS,Partecipanti!$B$9,A_DATA,$B17)+COUNTIFS(A_PERS,Partecipanti!$B$9,A_SETT,$A17,A_TIPO,"Licenza - settimana intera")+COUNTIFS(A_PERS,Partecipanti!$B$9,A_SETT,$A17,A_TIPO,"Attività esterna - settimana intera")&gt;0,0,1)</f>
        <v/>
      </c>
      <c r="L17">
        <f>IFERROR(INDEX($C11:$C15,MATCH(1,INDEX(($T11:$T15=$C17)*1,0),0)),"")</f>
        <v/>
      </c>
      <c r="M17">
        <f>IF($L17="",0,IF(INDEX($G17:$K17,MATCH($L17,Partecipanti!$B$5:$B$9,0))=1,1,0))</f>
        <v/>
      </c>
      <c r="N17">
        <f>IF($G17=0,100000,IF(Partecipanti!$B$5=$C17,100000,COUNTIF($S$6:$S16,Partecipanti!$B$5)*100+MOD(1-MATCH($C17,Partecipanti!$B$5:$B$9,0)-1,5)))</f>
        <v/>
      </c>
      <c r="O17">
        <f>IF($H17=0,100000,IF(Partecipanti!$B$6=$C17,100000,COUNTIF($S$6:$S16,Partecipanti!$B$6)*100+MOD(2-MATCH($C17,Partecipanti!$B$5:$B$9,0)-1,5)))</f>
        <v/>
      </c>
      <c r="P17">
        <f>IF($I17=0,100000,IF(Partecipanti!$B$7=$C17,100000,COUNTIF($S$6:$S16,Partecipanti!$B$7)*100+MOD(3-MATCH($C17,Partecipanti!$B$5:$B$9,0)-1,5)))</f>
        <v/>
      </c>
      <c r="Q17">
        <f>IF($J17=0,100000,IF(Partecipanti!$B$8=$C17,100000,COUNTIF($S$6:$S16,Partecipanti!$B$8)*100+MOD(4-MATCH($C17,Partecipanti!$B$5:$B$9,0)-1,5)))</f>
        <v/>
      </c>
      <c r="R17">
        <f>IF($K17=0,100000,IF(Partecipanti!$B$9=$C17,100000,COUNTIF($S$6:$S16,Partecipanti!$B$9)*100+MOD(5-MATCH($C17,Partecipanti!$B$5:$B$9,0)-1,5)))</f>
        <v/>
      </c>
      <c r="S17">
        <f>IF(OR($E17=0,$M17=1),"",IF(MIN($N17:$R17)&gt;=100000,"DA ASSEGNARE",INDEX(Partecipanti!$B$5:$B$9,MATCH(MIN($N17:$R17),$N17:$R17,0))))</f>
        <v/>
      </c>
      <c r="T17">
        <f>IF(AND($F17=1,$S17&lt;&gt;"",$S17&lt;&gt;"DA ASSEGNARE"),$S17,"")</f>
        <v/>
      </c>
      <c r="U17">
        <f>IF($M17=1,$L17,IF($E17=0,$C17,$S17))</f>
        <v/>
      </c>
      <c r="V17">
        <f>IF($M17=1,"Recupero",IF($E17=0,"Ordinario",IF($S17="DA ASSEGNARE","DA ASSEGNARE","Sostituzione (doppio turno)")))</f>
        <v/>
      </c>
      <c r="W17">
        <f>IF(OR($M17=1,$E17=1),$C17,"")</f>
        <v/>
      </c>
      <c r="X17">
        <f>IF($M17=1,$L17&amp;" recupera il turno saltato nella settimana "&amp;($A17-1)&amp;"; "&amp;$C17&amp;" a riposo compensativo",IF($E17=1,$C17&amp;" assente ("&amp;$D17&amp;")"&amp;IF($S17="DA ASSEGNARE","; nessun sostituto disponibile","; sostituisce "&amp;$S17&amp;" con doppio turno")&amp;IF($F17=1,"; turno da recuperare nella settimana "&amp;($A17+1),"; turno non da recuperare"),""))</f>
        <v/>
      </c>
      <c r="Y17">
        <f>IF($M17=1,"recupera il turno saltato nella settimana "&amp;($A17-1)&amp;", "&amp;$C17&amp;" a riposo",IF($E17=1,IF($S17="DA ASSEGNARE","turno da assegnare: "&amp;$C17&amp;" assente","in sostituzione di "&amp;$C17&amp;", doppio turno"),""))</f>
        <v/>
      </c>
    </row>
    <row r="18">
      <c r="A18" t="n">
        <v>3</v>
      </c>
      <c r="B18" s="43" t="n">
        <v>46309</v>
      </c>
      <c r="C18">
        <f>Partecipanti!$B$7</f>
        <v/>
      </c>
      <c r="D18">
        <f>IF(COUNTIFS(A_PERS,$C18,A_SETT,$A18,A_TIPO,"Licenza - settimana intera")&gt;0,"Licenza - settimana intera",IF(COUNTIFS(A_PERS,$C18,A_SETT,$A18,A_TIPO,"Attività esterna - settimana intera")&gt;0,"Attività esterna - settimana intera",IF(COUNTIFS(A_PERS,$C18,A_DATA,$B18)&gt;0,INDEX(A_TIPO,MATCH(1,INDEX((A_PERS=$C18)*(A_DATA=$B18),0),0)),"")))</f>
        <v/>
      </c>
      <c r="E18">
        <f>IF($D18="",0,1)</f>
        <v/>
      </c>
      <c r="F18">
        <f>IF($E18=0,0,IF(OR($D18="Licenza - settimana intera",$D18="Attività esterna - settimana intera"),0,1))</f>
        <v/>
      </c>
      <c r="G18">
        <f>IF(COUNTIFS(A_PERS,Partecipanti!$B$5,A_DATA,$B18)+COUNTIFS(A_PERS,Partecipanti!$B$5,A_SETT,$A18,A_TIPO,"Licenza - settimana intera")+COUNTIFS(A_PERS,Partecipanti!$B$5,A_SETT,$A18,A_TIPO,"Attività esterna - settimana intera")&gt;0,0,1)</f>
        <v/>
      </c>
      <c r="H18">
        <f>IF(COUNTIFS(A_PERS,Partecipanti!$B$6,A_DATA,$B18)+COUNTIFS(A_PERS,Partecipanti!$B$6,A_SETT,$A18,A_TIPO,"Licenza - settimana intera")+COUNTIFS(A_PERS,Partecipanti!$B$6,A_SETT,$A18,A_TIPO,"Attività esterna - settimana intera")&gt;0,0,1)</f>
        <v/>
      </c>
      <c r="I18">
        <f>IF(COUNTIFS(A_PERS,Partecipanti!$B$7,A_DATA,$B18)+COUNTIFS(A_PERS,Partecipanti!$B$7,A_SETT,$A18,A_TIPO,"Licenza - settimana intera")+COUNTIFS(A_PERS,Partecipanti!$B$7,A_SETT,$A18,A_TIPO,"Attività esterna - settimana intera")&gt;0,0,1)</f>
        <v/>
      </c>
      <c r="J18">
        <f>IF(COUNTIFS(A_PERS,Partecipanti!$B$8,A_DATA,$B18)+COUNTIFS(A_PERS,Partecipanti!$B$8,A_SETT,$A18,A_TIPO,"Licenza - settimana intera")+COUNTIFS(A_PERS,Partecipanti!$B$8,A_SETT,$A18,A_TIPO,"Attività esterna - settimana intera")&gt;0,0,1)</f>
        <v/>
      </c>
      <c r="K18">
        <f>IF(COUNTIFS(A_PERS,Partecipanti!$B$9,A_DATA,$B18)+COUNTIFS(A_PERS,Partecipanti!$B$9,A_SETT,$A18,A_TIPO,"Licenza - settimana intera")+COUNTIFS(A_PERS,Partecipanti!$B$9,A_SETT,$A18,A_TIPO,"Attività esterna - settimana intera")&gt;0,0,1)</f>
        <v/>
      </c>
      <c r="L18">
        <f>IFERROR(INDEX($C11:$C15,MATCH(1,INDEX(($T11:$T15=$C18)*1,0),0)),"")</f>
        <v/>
      </c>
      <c r="M18">
        <f>IF($L18="",0,IF(INDEX($G18:$K18,MATCH($L18,Partecipanti!$B$5:$B$9,0))=1,1,0))</f>
        <v/>
      </c>
      <c r="N18">
        <f>IF($G18=0,100000,IF(Partecipanti!$B$5=$C18,100000,COUNTIF($S$6:$S17,Partecipanti!$B$5)*100+MOD(1-MATCH($C18,Partecipanti!$B$5:$B$9,0)-1,5)))</f>
        <v/>
      </c>
      <c r="O18">
        <f>IF($H18=0,100000,IF(Partecipanti!$B$6=$C18,100000,COUNTIF($S$6:$S17,Partecipanti!$B$6)*100+MOD(2-MATCH($C18,Partecipanti!$B$5:$B$9,0)-1,5)))</f>
        <v/>
      </c>
      <c r="P18">
        <f>IF($I18=0,100000,IF(Partecipanti!$B$7=$C18,100000,COUNTIF($S$6:$S17,Partecipanti!$B$7)*100+MOD(3-MATCH($C18,Partecipanti!$B$5:$B$9,0)-1,5)))</f>
        <v/>
      </c>
      <c r="Q18">
        <f>IF($J18=0,100000,IF(Partecipanti!$B$8=$C18,100000,COUNTIF($S$6:$S17,Partecipanti!$B$8)*100+MOD(4-MATCH($C18,Partecipanti!$B$5:$B$9,0)-1,5)))</f>
        <v/>
      </c>
      <c r="R18">
        <f>IF($K18=0,100000,IF(Partecipanti!$B$9=$C18,100000,COUNTIF($S$6:$S17,Partecipanti!$B$9)*100+MOD(5-MATCH($C18,Partecipanti!$B$5:$B$9,0)-1,5)))</f>
        <v/>
      </c>
      <c r="S18">
        <f>IF(OR($E18=0,$M18=1),"",IF(MIN($N18:$R18)&gt;=100000,"DA ASSEGNARE",INDEX(Partecipanti!$B$5:$B$9,MATCH(MIN($N18:$R18),$N18:$R18,0))))</f>
        <v/>
      </c>
      <c r="T18">
        <f>IF(AND($F18=1,$S18&lt;&gt;"",$S18&lt;&gt;"DA ASSEGNARE"),$S18,"")</f>
        <v/>
      </c>
      <c r="U18">
        <f>IF($M18=1,$L18,IF($E18=0,$C18,$S18))</f>
        <v/>
      </c>
      <c r="V18">
        <f>IF($M18=1,"Recupero",IF($E18=0,"Ordinario",IF($S18="DA ASSEGNARE","DA ASSEGNARE","Sostituzione (doppio turno)")))</f>
        <v/>
      </c>
      <c r="W18">
        <f>IF(OR($M18=1,$E18=1),$C18,"")</f>
        <v/>
      </c>
      <c r="X18">
        <f>IF($M18=1,$L18&amp;" recupera il turno saltato nella settimana "&amp;($A18-1)&amp;"; "&amp;$C18&amp;" a riposo compensativo",IF($E18=1,$C18&amp;" assente ("&amp;$D18&amp;")"&amp;IF($S18="DA ASSEGNARE","; nessun sostituto disponibile","; sostituisce "&amp;$S18&amp;" con doppio turno")&amp;IF($F18=1,"; turno da recuperare nella settimana "&amp;($A18+1),"; turno non da recuperare"),""))</f>
        <v/>
      </c>
      <c r="Y18">
        <f>IF($M18=1,"recupera il turno saltato nella settimana "&amp;($A18-1)&amp;", "&amp;$C18&amp;" a riposo",IF($E18=1,IF($S18="DA ASSEGNARE","turno da assegnare: "&amp;$C18&amp;" assente","in sostituzione di "&amp;$C18&amp;", doppio turno"),""))</f>
        <v/>
      </c>
    </row>
    <row r="19">
      <c r="A19" t="n">
        <v>3</v>
      </c>
      <c r="B19" s="43" t="n">
        <v>46310</v>
      </c>
      <c r="C19">
        <f>Partecipanti!$B$8</f>
        <v/>
      </c>
      <c r="D19">
        <f>IF(COUNTIFS(A_PERS,$C19,A_SETT,$A19,A_TIPO,"Licenza - settimana intera")&gt;0,"Licenza - settimana intera",IF(COUNTIFS(A_PERS,$C19,A_SETT,$A19,A_TIPO,"Attività esterna - settimana intera")&gt;0,"Attività esterna - settimana intera",IF(COUNTIFS(A_PERS,$C19,A_DATA,$B19)&gt;0,INDEX(A_TIPO,MATCH(1,INDEX((A_PERS=$C19)*(A_DATA=$B19),0),0)),"")))</f>
        <v/>
      </c>
      <c r="E19">
        <f>IF($D19="",0,1)</f>
        <v/>
      </c>
      <c r="F19">
        <f>IF($E19=0,0,IF(OR($D19="Licenza - settimana intera",$D19="Attività esterna - settimana intera"),0,1))</f>
        <v/>
      </c>
      <c r="G19">
        <f>IF(COUNTIFS(A_PERS,Partecipanti!$B$5,A_DATA,$B19)+COUNTIFS(A_PERS,Partecipanti!$B$5,A_SETT,$A19,A_TIPO,"Licenza - settimana intera")+COUNTIFS(A_PERS,Partecipanti!$B$5,A_SETT,$A19,A_TIPO,"Attività esterna - settimana intera")&gt;0,0,1)</f>
        <v/>
      </c>
      <c r="H19">
        <f>IF(COUNTIFS(A_PERS,Partecipanti!$B$6,A_DATA,$B19)+COUNTIFS(A_PERS,Partecipanti!$B$6,A_SETT,$A19,A_TIPO,"Licenza - settimana intera")+COUNTIFS(A_PERS,Partecipanti!$B$6,A_SETT,$A19,A_TIPO,"Attività esterna - settimana intera")&gt;0,0,1)</f>
        <v/>
      </c>
      <c r="I19">
        <f>IF(COUNTIFS(A_PERS,Partecipanti!$B$7,A_DATA,$B19)+COUNTIFS(A_PERS,Partecipanti!$B$7,A_SETT,$A19,A_TIPO,"Licenza - settimana intera")+COUNTIFS(A_PERS,Partecipanti!$B$7,A_SETT,$A19,A_TIPO,"Attività esterna - settimana intera")&gt;0,0,1)</f>
        <v/>
      </c>
      <c r="J19">
        <f>IF(COUNTIFS(A_PERS,Partecipanti!$B$8,A_DATA,$B19)+COUNTIFS(A_PERS,Partecipanti!$B$8,A_SETT,$A19,A_TIPO,"Licenza - settimana intera")+COUNTIFS(A_PERS,Partecipanti!$B$8,A_SETT,$A19,A_TIPO,"Attività esterna - settimana intera")&gt;0,0,1)</f>
        <v/>
      </c>
      <c r="K19">
        <f>IF(COUNTIFS(A_PERS,Partecipanti!$B$9,A_DATA,$B19)+COUNTIFS(A_PERS,Partecipanti!$B$9,A_SETT,$A19,A_TIPO,"Licenza - settimana intera")+COUNTIFS(A_PERS,Partecipanti!$B$9,A_SETT,$A19,A_TIPO,"Attività esterna - settimana intera")&gt;0,0,1)</f>
        <v/>
      </c>
      <c r="L19">
        <f>IFERROR(INDEX($C11:$C15,MATCH(1,INDEX(($T11:$T15=$C19)*1,0),0)),"")</f>
        <v/>
      </c>
      <c r="M19">
        <f>IF($L19="",0,IF(INDEX($G19:$K19,MATCH($L19,Partecipanti!$B$5:$B$9,0))=1,1,0))</f>
        <v/>
      </c>
      <c r="N19">
        <f>IF($G19=0,100000,IF(Partecipanti!$B$5=$C19,100000,COUNTIF($S$6:$S18,Partecipanti!$B$5)*100+MOD(1-MATCH($C19,Partecipanti!$B$5:$B$9,0)-1,5)))</f>
        <v/>
      </c>
      <c r="O19">
        <f>IF($H19=0,100000,IF(Partecipanti!$B$6=$C19,100000,COUNTIF($S$6:$S18,Partecipanti!$B$6)*100+MOD(2-MATCH($C19,Partecipanti!$B$5:$B$9,0)-1,5)))</f>
        <v/>
      </c>
      <c r="P19">
        <f>IF($I19=0,100000,IF(Partecipanti!$B$7=$C19,100000,COUNTIF($S$6:$S18,Partecipanti!$B$7)*100+MOD(3-MATCH($C19,Partecipanti!$B$5:$B$9,0)-1,5)))</f>
        <v/>
      </c>
      <c r="Q19">
        <f>IF($J19=0,100000,IF(Partecipanti!$B$8=$C19,100000,COUNTIF($S$6:$S18,Partecipanti!$B$8)*100+MOD(4-MATCH($C19,Partecipanti!$B$5:$B$9,0)-1,5)))</f>
        <v/>
      </c>
      <c r="R19">
        <f>IF($K19=0,100000,IF(Partecipanti!$B$9=$C19,100000,COUNTIF($S$6:$S18,Partecipanti!$B$9)*100+MOD(5-MATCH($C19,Partecipanti!$B$5:$B$9,0)-1,5)))</f>
        <v/>
      </c>
      <c r="S19">
        <f>IF(OR($E19=0,$M19=1),"",IF(MIN($N19:$R19)&gt;=100000,"DA ASSEGNARE",INDEX(Partecipanti!$B$5:$B$9,MATCH(MIN($N19:$R19),$N19:$R19,0))))</f>
        <v/>
      </c>
      <c r="T19">
        <f>IF(AND($F19=1,$S19&lt;&gt;"",$S19&lt;&gt;"DA ASSEGNARE"),$S19,"")</f>
        <v/>
      </c>
      <c r="U19">
        <f>IF($M19=1,$L19,IF($E19=0,$C19,$S19))</f>
        <v/>
      </c>
      <c r="V19">
        <f>IF($M19=1,"Recupero",IF($E19=0,"Ordinario",IF($S19="DA ASSEGNARE","DA ASSEGNARE","Sostituzione (doppio turno)")))</f>
        <v/>
      </c>
      <c r="W19">
        <f>IF(OR($M19=1,$E19=1),$C19,"")</f>
        <v/>
      </c>
      <c r="X19">
        <f>IF($M19=1,$L19&amp;" recupera il turno saltato nella settimana "&amp;($A19-1)&amp;"; "&amp;$C19&amp;" a riposo compensativo",IF($E19=1,$C19&amp;" assente ("&amp;$D19&amp;")"&amp;IF($S19="DA ASSEGNARE","; nessun sostituto disponibile","; sostituisce "&amp;$S19&amp;" con doppio turno")&amp;IF($F19=1,"; turno da recuperare nella settimana "&amp;($A19+1),"; turno non da recuperare"),""))</f>
        <v/>
      </c>
      <c r="Y19">
        <f>IF($M19=1,"recupera il turno saltato nella settimana "&amp;($A19-1)&amp;", "&amp;$C19&amp;" a riposo",IF($E19=1,IF($S19="DA ASSEGNARE","turno da assegnare: "&amp;$C19&amp;" assente","in sostituzione di "&amp;$C19&amp;", doppio turno"),""))</f>
        <v/>
      </c>
    </row>
    <row r="20">
      <c r="A20" t="n">
        <v>3</v>
      </c>
      <c r="B20" s="43" t="n">
        <v>46311</v>
      </c>
      <c r="C20">
        <f>Partecipanti!$B$9</f>
        <v/>
      </c>
      <c r="D20">
        <f>IF(COUNTIFS(A_PERS,$C20,A_SETT,$A20,A_TIPO,"Licenza - settimana intera")&gt;0,"Licenza - settimana intera",IF(COUNTIFS(A_PERS,$C20,A_SETT,$A20,A_TIPO,"Attività esterna - settimana intera")&gt;0,"Attività esterna - settimana intera",IF(COUNTIFS(A_PERS,$C20,A_DATA,$B20)&gt;0,INDEX(A_TIPO,MATCH(1,INDEX((A_PERS=$C20)*(A_DATA=$B20),0),0)),"")))</f>
        <v/>
      </c>
      <c r="E20">
        <f>IF($D20="",0,1)</f>
        <v/>
      </c>
      <c r="F20">
        <f>IF($E20=0,0,IF(OR($D20="Licenza - settimana intera",$D20="Attività esterna - settimana intera"),0,1))</f>
        <v/>
      </c>
      <c r="G20">
        <f>IF(COUNTIFS(A_PERS,Partecipanti!$B$5,A_DATA,$B20)+COUNTIFS(A_PERS,Partecipanti!$B$5,A_SETT,$A20,A_TIPO,"Licenza - settimana intera")+COUNTIFS(A_PERS,Partecipanti!$B$5,A_SETT,$A20,A_TIPO,"Attività esterna - settimana intera")&gt;0,0,1)</f>
        <v/>
      </c>
      <c r="H20">
        <f>IF(COUNTIFS(A_PERS,Partecipanti!$B$6,A_DATA,$B20)+COUNTIFS(A_PERS,Partecipanti!$B$6,A_SETT,$A20,A_TIPO,"Licenza - settimana intera")+COUNTIFS(A_PERS,Partecipanti!$B$6,A_SETT,$A20,A_TIPO,"Attività esterna - settimana intera")&gt;0,0,1)</f>
        <v/>
      </c>
      <c r="I20">
        <f>IF(COUNTIFS(A_PERS,Partecipanti!$B$7,A_DATA,$B20)+COUNTIFS(A_PERS,Partecipanti!$B$7,A_SETT,$A20,A_TIPO,"Licenza - settimana intera")+COUNTIFS(A_PERS,Partecipanti!$B$7,A_SETT,$A20,A_TIPO,"Attività esterna - settimana intera")&gt;0,0,1)</f>
        <v/>
      </c>
      <c r="J20">
        <f>IF(COUNTIFS(A_PERS,Partecipanti!$B$8,A_DATA,$B20)+COUNTIFS(A_PERS,Partecipanti!$B$8,A_SETT,$A20,A_TIPO,"Licenza - settimana intera")+COUNTIFS(A_PERS,Partecipanti!$B$8,A_SETT,$A20,A_TIPO,"Attività esterna - settimana intera")&gt;0,0,1)</f>
        <v/>
      </c>
      <c r="K20">
        <f>IF(COUNTIFS(A_PERS,Partecipanti!$B$9,A_DATA,$B20)+COUNTIFS(A_PERS,Partecipanti!$B$9,A_SETT,$A20,A_TIPO,"Licenza - settimana intera")+COUNTIFS(A_PERS,Partecipanti!$B$9,A_SETT,$A20,A_TIPO,"Attività esterna - settimana intera")&gt;0,0,1)</f>
        <v/>
      </c>
      <c r="L20">
        <f>IFERROR(INDEX($C11:$C15,MATCH(1,INDEX(($T11:$T15=$C20)*1,0),0)),"")</f>
        <v/>
      </c>
      <c r="M20">
        <f>IF($L20="",0,IF(INDEX($G20:$K20,MATCH($L20,Partecipanti!$B$5:$B$9,0))=1,1,0))</f>
        <v/>
      </c>
      <c r="N20">
        <f>IF($G20=0,100000,IF(Partecipanti!$B$5=$C20,100000,COUNTIF($S$6:$S19,Partecipanti!$B$5)*100+MOD(1-MATCH($C20,Partecipanti!$B$5:$B$9,0)-1,5)))</f>
        <v/>
      </c>
      <c r="O20">
        <f>IF($H20=0,100000,IF(Partecipanti!$B$6=$C20,100000,COUNTIF($S$6:$S19,Partecipanti!$B$6)*100+MOD(2-MATCH($C20,Partecipanti!$B$5:$B$9,0)-1,5)))</f>
        <v/>
      </c>
      <c r="P20">
        <f>IF($I20=0,100000,IF(Partecipanti!$B$7=$C20,100000,COUNTIF($S$6:$S19,Partecipanti!$B$7)*100+MOD(3-MATCH($C20,Partecipanti!$B$5:$B$9,0)-1,5)))</f>
        <v/>
      </c>
      <c r="Q20">
        <f>IF($J20=0,100000,IF(Partecipanti!$B$8=$C20,100000,COUNTIF($S$6:$S19,Partecipanti!$B$8)*100+MOD(4-MATCH($C20,Partecipanti!$B$5:$B$9,0)-1,5)))</f>
        <v/>
      </c>
      <c r="R20">
        <f>IF($K20=0,100000,IF(Partecipanti!$B$9=$C20,100000,COUNTIF($S$6:$S19,Partecipanti!$B$9)*100+MOD(5-MATCH($C20,Partecipanti!$B$5:$B$9,0)-1,5)))</f>
        <v/>
      </c>
      <c r="S20">
        <f>IF(OR($E20=0,$M20=1),"",IF(MIN($N20:$R20)&gt;=100000,"DA ASSEGNARE",INDEX(Partecipanti!$B$5:$B$9,MATCH(MIN($N20:$R20),$N20:$R20,0))))</f>
        <v/>
      </c>
      <c r="T20">
        <f>IF(AND($F20=1,$S20&lt;&gt;"",$S20&lt;&gt;"DA ASSEGNARE"),$S20,"")</f>
        <v/>
      </c>
      <c r="U20">
        <f>IF($M20=1,$L20,IF($E20=0,$C20,$S20))</f>
        <v/>
      </c>
      <c r="V20">
        <f>IF($M20=1,"Recupero",IF($E20=0,"Ordinario",IF($S20="DA ASSEGNARE","DA ASSEGNARE","Sostituzione (doppio turno)")))</f>
        <v/>
      </c>
      <c r="W20">
        <f>IF(OR($M20=1,$E20=1),$C20,"")</f>
        <v/>
      </c>
      <c r="X20">
        <f>IF($M20=1,$L20&amp;" recupera il turno saltato nella settimana "&amp;($A20-1)&amp;"; "&amp;$C20&amp;" a riposo compensativo",IF($E20=1,$C20&amp;" assente ("&amp;$D20&amp;")"&amp;IF($S20="DA ASSEGNARE","; nessun sostituto disponibile","; sostituisce "&amp;$S20&amp;" con doppio turno")&amp;IF($F20=1,"; turno da recuperare nella settimana "&amp;($A20+1),"; turno non da recuperare"),""))</f>
        <v/>
      </c>
      <c r="Y20">
        <f>IF($M20=1,"recupera il turno saltato nella settimana "&amp;($A20-1)&amp;", "&amp;$C20&amp;" a riposo",IF($E20=1,IF($S20="DA ASSEGNARE","turno da assegnare: "&amp;$C20&amp;" assente","in sostituzione di "&amp;$C20&amp;", doppio turno"),""))</f>
        <v/>
      </c>
    </row>
    <row r="21">
      <c r="A21" t="n">
        <v>4</v>
      </c>
      <c r="B21" s="43" t="n">
        <v>46314</v>
      </c>
      <c r="C21">
        <f>Partecipanti!$B$5</f>
        <v/>
      </c>
      <c r="D21">
        <f>IF(COUNTIFS(A_PERS,$C21,A_SETT,$A21,A_TIPO,"Licenza - settimana intera")&gt;0,"Licenza - settimana intera",IF(COUNTIFS(A_PERS,$C21,A_SETT,$A21,A_TIPO,"Attività esterna - settimana intera")&gt;0,"Attività esterna - settimana intera",IF(COUNTIFS(A_PERS,$C21,A_DATA,$B21)&gt;0,INDEX(A_TIPO,MATCH(1,INDEX((A_PERS=$C21)*(A_DATA=$B21),0),0)),"")))</f>
        <v/>
      </c>
      <c r="E21">
        <f>IF($D21="",0,1)</f>
        <v/>
      </c>
      <c r="F21">
        <f>IF($E21=0,0,IF(OR($D21="Licenza - settimana intera",$D21="Attività esterna - settimana intera"),0,1))</f>
        <v/>
      </c>
      <c r="G21">
        <f>IF(COUNTIFS(A_PERS,Partecipanti!$B$5,A_DATA,$B21)+COUNTIFS(A_PERS,Partecipanti!$B$5,A_SETT,$A21,A_TIPO,"Licenza - settimana intera")+COUNTIFS(A_PERS,Partecipanti!$B$5,A_SETT,$A21,A_TIPO,"Attività esterna - settimana intera")&gt;0,0,1)</f>
        <v/>
      </c>
      <c r="H21">
        <f>IF(COUNTIFS(A_PERS,Partecipanti!$B$6,A_DATA,$B21)+COUNTIFS(A_PERS,Partecipanti!$B$6,A_SETT,$A21,A_TIPO,"Licenza - settimana intera")+COUNTIFS(A_PERS,Partecipanti!$B$6,A_SETT,$A21,A_TIPO,"Attività esterna - settimana intera")&gt;0,0,1)</f>
        <v/>
      </c>
      <c r="I21">
        <f>IF(COUNTIFS(A_PERS,Partecipanti!$B$7,A_DATA,$B21)+COUNTIFS(A_PERS,Partecipanti!$B$7,A_SETT,$A21,A_TIPO,"Licenza - settimana intera")+COUNTIFS(A_PERS,Partecipanti!$B$7,A_SETT,$A21,A_TIPO,"Attività esterna - settimana intera")&gt;0,0,1)</f>
        <v/>
      </c>
      <c r="J21">
        <f>IF(COUNTIFS(A_PERS,Partecipanti!$B$8,A_DATA,$B21)+COUNTIFS(A_PERS,Partecipanti!$B$8,A_SETT,$A21,A_TIPO,"Licenza - settimana intera")+COUNTIFS(A_PERS,Partecipanti!$B$8,A_SETT,$A21,A_TIPO,"Attività esterna - settimana intera")&gt;0,0,1)</f>
        <v/>
      </c>
      <c r="K21">
        <f>IF(COUNTIFS(A_PERS,Partecipanti!$B$9,A_DATA,$B21)+COUNTIFS(A_PERS,Partecipanti!$B$9,A_SETT,$A21,A_TIPO,"Licenza - settimana intera")+COUNTIFS(A_PERS,Partecipanti!$B$9,A_SETT,$A21,A_TIPO,"Attività esterna - settimana intera")&gt;0,0,1)</f>
        <v/>
      </c>
      <c r="L21">
        <f>IFERROR(INDEX($C16:$C20,MATCH(1,INDEX(($T16:$T20=$C21)*1,0),0)),"")</f>
        <v/>
      </c>
      <c r="M21">
        <f>IF($L21="",0,IF(INDEX($G21:$K21,MATCH($L21,Partecipanti!$B$5:$B$9,0))=1,1,0))</f>
        <v/>
      </c>
      <c r="N21">
        <f>IF($G21=0,100000,IF(Partecipanti!$B$5=$C21,100000,COUNTIF($S$6:$S20,Partecipanti!$B$5)*100+MOD(1-MATCH($C21,Partecipanti!$B$5:$B$9,0)-1,5)))</f>
        <v/>
      </c>
      <c r="O21">
        <f>IF($H21=0,100000,IF(Partecipanti!$B$6=$C21,100000,COUNTIF($S$6:$S20,Partecipanti!$B$6)*100+MOD(2-MATCH($C21,Partecipanti!$B$5:$B$9,0)-1,5)))</f>
        <v/>
      </c>
      <c r="P21">
        <f>IF($I21=0,100000,IF(Partecipanti!$B$7=$C21,100000,COUNTIF($S$6:$S20,Partecipanti!$B$7)*100+MOD(3-MATCH($C21,Partecipanti!$B$5:$B$9,0)-1,5)))</f>
        <v/>
      </c>
      <c r="Q21">
        <f>IF($J21=0,100000,IF(Partecipanti!$B$8=$C21,100000,COUNTIF($S$6:$S20,Partecipanti!$B$8)*100+MOD(4-MATCH($C21,Partecipanti!$B$5:$B$9,0)-1,5)))</f>
        <v/>
      </c>
      <c r="R21">
        <f>IF($K21=0,100000,IF(Partecipanti!$B$9=$C21,100000,COUNTIF($S$6:$S20,Partecipanti!$B$9)*100+MOD(5-MATCH($C21,Partecipanti!$B$5:$B$9,0)-1,5)))</f>
        <v/>
      </c>
      <c r="S21">
        <f>IF(OR($E21=0,$M21=1),"",IF(MIN($N21:$R21)&gt;=100000,"DA ASSEGNARE",INDEX(Partecipanti!$B$5:$B$9,MATCH(MIN($N21:$R21),$N21:$R21,0))))</f>
        <v/>
      </c>
      <c r="T21">
        <f>IF(AND($F21=1,$S21&lt;&gt;"",$S21&lt;&gt;"DA ASSEGNARE"),$S21,"")</f>
        <v/>
      </c>
      <c r="U21">
        <f>IF($M21=1,$L21,IF($E21=0,$C21,$S21))</f>
        <v/>
      </c>
      <c r="V21">
        <f>IF($M21=1,"Recupero",IF($E21=0,"Ordinario",IF($S21="DA ASSEGNARE","DA ASSEGNARE","Sostituzione (doppio turno)")))</f>
        <v/>
      </c>
      <c r="W21">
        <f>IF(OR($M21=1,$E21=1),$C21,"")</f>
        <v/>
      </c>
      <c r="X21">
        <f>IF($M21=1,$L21&amp;" recupera il turno saltato nella settimana "&amp;($A21-1)&amp;"; "&amp;$C21&amp;" a riposo compensativo",IF($E21=1,$C21&amp;" assente ("&amp;$D21&amp;")"&amp;IF($S21="DA ASSEGNARE","; nessun sostituto disponibile","; sostituisce "&amp;$S21&amp;" con doppio turno")&amp;IF($F21=1,"; turno da recuperare nella settimana "&amp;($A21+1),"; turno non da recuperare"),""))</f>
        <v/>
      </c>
      <c r="Y21">
        <f>IF($M21=1,"recupera il turno saltato nella settimana "&amp;($A21-1)&amp;", "&amp;$C21&amp;" a riposo",IF($E21=1,IF($S21="DA ASSEGNARE","turno da assegnare: "&amp;$C21&amp;" assente","in sostituzione di "&amp;$C21&amp;", doppio turno"),""))</f>
        <v/>
      </c>
    </row>
    <row r="22">
      <c r="A22" t="n">
        <v>4</v>
      </c>
      <c r="B22" s="43" t="n">
        <v>46315</v>
      </c>
      <c r="C22">
        <f>Partecipanti!$B$6</f>
        <v/>
      </c>
      <c r="D22">
        <f>IF(COUNTIFS(A_PERS,$C22,A_SETT,$A22,A_TIPO,"Licenza - settimana intera")&gt;0,"Licenza - settimana intera",IF(COUNTIFS(A_PERS,$C22,A_SETT,$A22,A_TIPO,"Attività esterna - settimana intera")&gt;0,"Attività esterna - settimana intera",IF(COUNTIFS(A_PERS,$C22,A_DATA,$B22)&gt;0,INDEX(A_TIPO,MATCH(1,INDEX((A_PERS=$C22)*(A_DATA=$B22),0),0)),"")))</f>
        <v/>
      </c>
      <c r="E22">
        <f>IF($D22="",0,1)</f>
        <v/>
      </c>
      <c r="F22">
        <f>IF($E22=0,0,IF(OR($D22="Licenza - settimana intera",$D22="Attività esterna - settimana intera"),0,1))</f>
        <v/>
      </c>
      <c r="G22">
        <f>IF(COUNTIFS(A_PERS,Partecipanti!$B$5,A_DATA,$B22)+COUNTIFS(A_PERS,Partecipanti!$B$5,A_SETT,$A22,A_TIPO,"Licenza - settimana intera")+COUNTIFS(A_PERS,Partecipanti!$B$5,A_SETT,$A22,A_TIPO,"Attività esterna - settimana intera")&gt;0,0,1)</f>
        <v/>
      </c>
      <c r="H22">
        <f>IF(COUNTIFS(A_PERS,Partecipanti!$B$6,A_DATA,$B22)+COUNTIFS(A_PERS,Partecipanti!$B$6,A_SETT,$A22,A_TIPO,"Licenza - settimana intera")+COUNTIFS(A_PERS,Partecipanti!$B$6,A_SETT,$A22,A_TIPO,"Attività esterna - settimana intera")&gt;0,0,1)</f>
        <v/>
      </c>
      <c r="I22">
        <f>IF(COUNTIFS(A_PERS,Partecipanti!$B$7,A_DATA,$B22)+COUNTIFS(A_PERS,Partecipanti!$B$7,A_SETT,$A22,A_TIPO,"Licenza - settimana intera")+COUNTIFS(A_PERS,Partecipanti!$B$7,A_SETT,$A22,A_TIPO,"Attività esterna - settimana intera")&gt;0,0,1)</f>
        <v/>
      </c>
      <c r="J22">
        <f>IF(COUNTIFS(A_PERS,Partecipanti!$B$8,A_DATA,$B22)+COUNTIFS(A_PERS,Partecipanti!$B$8,A_SETT,$A22,A_TIPO,"Licenza - settimana intera")+COUNTIFS(A_PERS,Partecipanti!$B$8,A_SETT,$A22,A_TIPO,"Attività esterna - settimana intera")&gt;0,0,1)</f>
        <v/>
      </c>
      <c r="K22">
        <f>IF(COUNTIFS(A_PERS,Partecipanti!$B$9,A_DATA,$B22)+COUNTIFS(A_PERS,Partecipanti!$B$9,A_SETT,$A22,A_TIPO,"Licenza - settimana intera")+COUNTIFS(A_PERS,Partecipanti!$B$9,A_SETT,$A22,A_TIPO,"Attività esterna - settimana intera")&gt;0,0,1)</f>
        <v/>
      </c>
      <c r="L22">
        <f>IFERROR(INDEX($C16:$C20,MATCH(1,INDEX(($T16:$T20=$C22)*1,0),0)),"")</f>
        <v/>
      </c>
      <c r="M22">
        <f>IF($L22="",0,IF(INDEX($G22:$K22,MATCH($L22,Partecipanti!$B$5:$B$9,0))=1,1,0))</f>
        <v/>
      </c>
      <c r="N22">
        <f>IF($G22=0,100000,IF(Partecipanti!$B$5=$C22,100000,COUNTIF($S$6:$S21,Partecipanti!$B$5)*100+MOD(1-MATCH($C22,Partecipanti!$B$5:$B$9,0)-1,5)))</f>
        <v/>
      </c>
      <c r="O22">
        <f>IF($H22=0,100000,IF(Partecipanti!$B$6=$C22,100000,COUNTIF($S$6:$S21,Partecipanti!$B$6)*100+MOD(2-MATCH($C22,Partecipanti!$B$5:$B$9,0)-1,5)))</f>
        <v/>
      </c>
      <c r="P22">
        <f>IF($I22=0,100000,IF(Partecipanti!$B$7=$C22,100000,COUNTIF($S$6:$S21,Partecipanti!$B$7)*100+MOD(3-MATCH($C22,Partecipanti!$B$5:$B$9,0)-1,5)))</f>
        <v/>
      </c>
      <c r="Q22">
        <f>IF($J22=0,100000,IF(Partecipanti!$B$8=$C22,100000,COUNTIF($S$6:$S21,Partecipanti!$B$8)*100+MOD(4-MATCH($C22,Partecipanti!$B$5:$B$9,0)-1,5)))</f>
        <v/>
      </c>
      <c r="R22">
        <f>IF($K22=0,100000,IF(Partecipanti!$B$9=$C22,100000,COUNTIF($S$6:$S21,Partecipanti!$B$9)*100+MOD(5-MATCH($C22,Partecipanti!$B$5:$B$9,0)-1,5)))</f>
        <v/>
      </c>
      <c r="S22">
        <f>IF(OR($E22=0,$M22=1),"",IF(MIN($N22:$R22)&gt;=100000,"DA ASSEGNARE",INDEX(Partecipanti!$B$5:$B$9,MATCH(MIN($N22:$R22),$N22:$R22,0))))</f>
        <v/>
      </c>
      <c r="T22">
        <f>IF(AND($F22=1,$S22&lt;&gt;"",$S22&lt;&gt;"DA ASSEGNARE"),$S22,"")</f>
        <v/>
      </c>
      <c r="U22">
        <f>IF($M22=1,$L22,IF($E22=0,$C22,$S22))</f>
        <v/>
      </c>
      <c r="V22">
        <f>IF($M22=1,"Recupero",IF($E22=0,"Ordinario",IF($S22="DA ASSEGNARE","DA ASSEGNARE","Sostituzione (doppio turno)")))</f>
        <v/>
      </c>
      <c r="W22">
        <f>IF(OR($M22=1,$E22=1),$C22,"")</f>
        <v/>
      </c>
      <c r="X22">
        <f>IF($M22=1,$L22&amp;" recupera il turno saltato nella settimana "&amp;($A22-1)&amp;"; "&amp;$C22&amp;" a riposo compensativo",IF($E22=1,$C22&amp;" assente ("&amp;$D22&amp;")"&amp;IF($S22="DA ASSEGNARE","; nessun sostituto disponibile","; sostituisce "&amp;$S22&amp;" con doppio turno")&amp;IF($F22=1,"; turno da recuperare nella settimana "&amp;($A22+1),"; turno non da recuperare"),""))</f>
        <v/>
      </c>
      <c r="Y22">
        <f>IF($M22=1,"recupera il turno saltato nella settimana "&amp;($A22-1)&amp;", "&amp;$C22&amp;" a riposo",IF($E22=1,IF($S22="DA ASSEGNARE","turno da assegnare: "&amp;$C22&amp;" assente","in sostituzione di "&amp;$C22&amp;", doppio turno"),""))</f>
        <v/>
      </c>
    </row>
    <row r="23">
      <c r="A23" t="n">
        <v>4</v>
      </c>
      <c r="B23" s="43" t="n">
        <v>46316</v>
      </c>
      <c r="C23">
        <f>Partecipanti!$B$7</f>
        <v/>
      </c>
      <c r="D23">
        <f>IF(COUNTIFS(A_PERS,$C23,A_SETT,$A23,A_TIPO,"Licenza - settimana intera")&gt;0,"Licenza - settimana intera",IF(COUNTIFS(A_PERS,$C23,A_SETT,$A23,A_TIPO,"Attività esterna - settimana intera")&gt;0,"Attività esterna - settimana intera",IF(COUNTIFS(A_PERS,$C23,A_DATA,$B23)&gt;0,INDEX(A_TIPO,MATCH(1,INDEX((A_PERS=$C23)*(A_DATA=$B23),0),0)),"")))</f>
        <v/>
      </c>
      <c r="E23">
        <f>IF($D23="",0,1)</f>
        <v/>
      </c>
      <c r="F23">
        <f>IF($E23=0,0,IF(OR($D23="Licenza - settimana intera",$D23="Attività esterna - settimana intera"),0,1))</f>
        <v/>
      </c>
      <c r="G23">
        <f>IF(COUNTIFS(A_PERS,Partecipanti!$B$5,A_DATA,$B23)+COUNTIFS(A_PERS,Partecipanti!$B$5,A_SETT,$A23,A_TIPO,"Licenza - settimana intera")+COUNTIFS(A_PERS,Partecipanti!$B$5,A_SETT,$A23,A_TIPO,"Attività esterna - settimana intera")&gt;0,0,1)</f>
        <v/>
      </c>
      <c r="H23">
        <f>IF(COUNTIFS(A_PERS,Partecipanti!$B$6,A_DATA,$B23)+COUNTIFS(A_PERS,Partecipanti!$B$6,A_SETT,$A23,A_TIPO,"Licenza - settimana intera")+COUNTIFS(A_PERS,Partecipanti!$B$6,A_SETT,$A23,A_TIPO,"Attività esterna - settimana intera")&gt;0,0,1)</f>
        <v/>
      </c>
      <c r="I23">
        <f>IF(COUNTIFS(A_PERS,Partecipanti!$B$7,A_DATA,$B23)+COUNTIFS(A_PERS,Partecipanti!$B$7,A_SETT,$A23,A_TIPO,"Licenza - settimana intera")+COUNTIFS(A_PERS,Partecipanti!$B$7,A_SETT,$A23,A_TIPO,"Attività esterna - settimana intera")&gt;0,0,1)</f>
        <v/>
      </c>
      <c r="J23">
        <f>IF(COUNTIFS(A_PERS,Partecipanti!$B$8,A_DATA,$B23)+COUNTIFS(A_PERS,Partecipanti!$B$8,A_SETT,$A23,A_TIPO,"Licenza - settimana intera")+COUNTIFS(A_PERS,Partecipanti!$B$8,A_SETT,$A23,A_TIPO,"Attività esterna - settimana intera")&gt;0,0,1)</f>
        <v/>
      </c>
      <c r="K23">
        <f>IF(COUNTIFS(A_PERS,Partecipanti!$B$9,A_DATA,$B23)+COUNTIFS(A_PERS,Partecipanti!$B$9,A_SETT,$A23,A_TIPO,"Licenza - settimana intera")+COUNTIFS(A_PERS,Partecipanti!$B$9,A_SETT,$A23,A_TIPO,"Attività esterna - settimana intera")&gt;0,0,1)</f>
        <v/>
      </c>
      <c r="L23">
        <f>IFERROR(INDEX($C16:$C20,MATCH(1,INDEX(($T16:$T20=$C23)*1,0),0)),"")</f>
        <v/>
      </c>
      <c r="M23">
        <f>IF($L23="",0,IF(INDEX($G23:$K23,MATCH($L23,Partecipanti!$B$5:$B$9,0))=1,1,0))</f>
        <v/>
      </c>
      <c r="N23">
        <f>IF($G23=0,100000,IF(Partecipanti!$B$5=$C23,100000,COUNTIF($S$6:$S22,Partecipanti!$B$5)*100+MOD(1-MATCH($C23,Partecipanti!$B$5:$B$9,0)-1,5)))</f>
        <v/>
      </c>
      <c r="O23">
        <f>IF($H23=0,100000,IF(Partecipanti!$B$6=$C23,100000,COUNTIF($S$6:$S22,Partecipanti!$B$6)*100+MOD(2-MATCH($C23,Partecipanti!$B$5:$B$9,0)-1,5)))</f>
        <v/>
      </c>
      <c r="P23">
        <f>IF($I23=0,100000,IF(Partecipanti!$B$7=$C23,100000,COUNTIF($S$6:$S22,Partecipanti!$B$7)*100+MOD(3-MATCH($C23,Partecipanti!$B$5:$B$9,0)-1,5)))</f>
        <v/>
      </c>
      <c r="Q23">
        <f>IF($J23=0,100000,IF(Partecipanti!$B$8=$C23,100000,COUNTIF($S$6:$S22,Partecipanti!$B$8)*100+MOD(4-MATCH($C23,Partecipanti!$B$5:$B$9,0)-1,5)))</f>
        <v/>
      </c>
      <c r="R23">
        <f>IF($K23=0,100000,IF(Partecipanti!$B$9=$C23,100000,COUNTIF($S$6:$S22,Partecipanti!$B$9)*100+MOD(5-MATCH($C23,Partecipanti!$B$5:$B$9,0)-1,5)))</f>
        <v/>
      </c>
      <c r="S23">
        <f>IF(OR($E23=0,$M23=1),"",IF(MIN($N23:$R23)&gt;=100000,"DA ASSEGNARE",INDEX(Partecipanti!$B$5:$B$9,MATCH(MIN($N23:$R23),$N23:$R23,0))))</f>
        <v/>
      </c>
      <c r="T23">
        <f>IF(AND($F23=1,$S23&lt;&gt;"",$S23&lt;&gt;"DA ASSEGNARE"),$S23,"")</f>
        <v/>
      </c>
      <c r="U23">
        <f>IF($M23=1,$L23,IF($E23=0,$C23,$S23))</f>
        <v/>
      </c>
      <c r="V23">
        <f>IF($M23=1,"Recupero",IF($E23=0,"Ordinario",IF($S23="DA ASSEGNARE","DA ASSEGNARE","Sostituzione (doppio turno)")))</f>
        <v/>
      </c>
      <c r="W23">
        <f>IF(OR($M23=1,$E23=1),$C23,"")</f>
        <v/>
      </c>
      <c r="X23">
        <f>IF($M23=1,$L23&amp;" recupera il turno saltato nella settimana "&amp;($A23-1)&amp;"; "&amp;$C23&amp;" a riposo compensativo",IF($E23=1,$C23&amp;" assente ("&amp;$D23&amp;")"&amp;IF($S23="DA ASSEGNARE","; nessun sostituto disponibile","; sostituisce "&amp;$S23&amp;" con doppio turno")&amp;IF($F23=1,"; turno da recuperare nella settimana "&amp;($A23+1),"; turno non da recuperare"),""))</f>
        <v/>
      </c>
      <c r="Y23">
        <f>IF($M23=1,"recupera il turno saltato nella settimana "&amp;($A23-1)&amp;", "&amp;$C23&amp;" a riposo",IF($E23=1,IF($S23="DA ASSEGNARE","turno da assegnare: "&amp;$C23&amp;" assente","in sostituzione di "&amp;$C23&amp;", doppio turno"),""))</f>
        <v/>
      </c>
    </row>
    <row r="24">
      <c r="A24" t="n">
        <v>4</v>
      </c>
      <c r="B24" s="43" t="n">
        <v>46317</v>
      </c>
      <c r="C24">
        <f>Partecipanti!$B$8</f>
        <v/>
      </c>
      <c r="D24">
        <f>IF(COUNTIFS(A_PERS,$C24,A_SETT,$A24,A_TIPO,"Licenza - settimana intera")&gt;0,"Licenza - settimana intera",IF(COUNTIFS(A_PERS,$C24,A_SETT,$A24,A_TIPO,"Attività esterna - settimana intera")&gt;0,"Attività esterna - settimana intera",IF(COUNTIFS(A_PERS,$C24,A_DATA,$B24)&gt;0,INDEX(A_TIPO,MATCH(1,INDEX((A_PERS=$C24)*(A_DATA=$B24),0),0)),"")))</f>
        <v/>
      </c>
      <c r="E24">
        <f>IF($D24="",0,1)</f>
        <v/>
      </c>
      <c r="F24">
        <f>IF($E24=0,0,IF(OR($D24="Licenza - settimana intera",$D24="Attività esterna - settimana intera"),0,1))</f>
        <v/>
      </c>
      <c r="G24">
        <f>IF(COUNTIFS(A_PERS,Partecipanti!$B$5,A_DATA,$B24)+COUNTIFS(A_PERS,Partecipanti!$B$5,A_SETT,$A24,A_TIPO,"Licenza - settimana intera")+COUNTIFS(A_PERS,Partecipanti!$B$5,A_SETT,$A24,A_TIPO,"Attività esterna - settimana intera")&gt;0,0,1)</f>
        <v/>
      </c>
      <c r="H24">
        <f>IF(COUNTIFS(A_PERS,Partecipanti!$B$6,A_DATA,$B24)+COUNTIFS(A_PERS,Partecipanti!$B$6,A_SETT,$A24,A_TIPO,"Licenza - settimana intera")+COUNTIFS(A_PERS,Partecipanti!$B$6,A_SETT,$A24,A_TIPO,"Attività esterna - settimana intera")&gt;0,0,1)</f>
        <v/>
      </c>
      <c r="I24">
        <f>IF(COUNTIFS(A_PERS,Partecipanti!$B$7,A_DATA,$B24)+COUNTIFS(A_PERS,Partecipanti!$B$7,A_SETT,$A24,A_TIPO,"Licenza - settimana intera")+COUNTIFS(A_PERS,Partecipanti!$B$7,A_SETT,$A24,A_TIPO,"Attività esterna - settimana intera")&gt;0,0,1)</f>
        <v/>
      </c>
      <c r="J24">
        <f>IF(COUNTIFS(A_PERS,Partecipanti!$B$8,A_DATA,$B24)+COUNTIFS(A_PERS,Partecipanti!$B$8,A_SETT,$A24,A_TIPO,"Licenza - settimana intera")+COUNTIFS(A_PERS,Partecipanti!$B$8,A_SETT,$A24,A_TIPO,"Attività esterna - settimana intera")&gt;0,0,1)</f>
        <v/>
      </c>
      <c r="K24">
        <f>IF(COUNTIFS(A_PERS,Partecipanti!$B$9,A_DATA,$B24)+COUNTIFS(A_PERS,Partecipanti!$B$9,A_SETT,$A24,A_TIPO,"Licenza - settimana intera")+COUNTIFS(A_PERS,Partecipanti!$B$9,A_SETT,$A24,A_TIPO,"Attività esterna - settimana intera")&gt;0,0,1)</f>
        <v/>
      </c>
      <c r="L24">
        <f>IFERROR(INDEX($C16:$C20,MATCH(1,INDEX(($T16:$T20=$C24)*1,0),0)),"")</f>
        <v/>
      </c>
      <c r="M24">
        <f>IF($L24="",0,IF(INDEX($G24:$K24,MATCH($L24,Partecipanti!$B$5:$B$9,0))=1,1,0))</f>
        <v/>
      </c>
      <c r="N24">
        <f>IF($G24=0,100000,IF(Partecipanti!$B$5=$C24,100000,COUNTIF($S$6:$S23,Partecipanti!$B$5)*100+MOD(1-MATCH($C24,Partecipanti!$B$5:$B$9,0)-1,5)))</f>
        <v/>
      </c>
      <c r="O24">
        <f>IF($H24=0,100000,IF(Partecipanti!$B$6=$C24,100000,COUNTIF($S$6:$S23,Partecipanti!$B$6)*100+MOD(2-MATCH($C24,Partecipanti!$B$5:$B$9,0)-1,5)))</f>
        <v/>
      </c>
      <c r="P24">
        <f>IF($I24=0,100000,IF(Partecipanti!$B$7=$C24,100000,COUNTIF($S$6:$S23,Partecipanti!$B$7)*100+MOD(3-MATCH($C24,Partecipanti!$B$5:$B$9,0)-1,5)))</f>
        <v/>
      </c>
      <c r="Q24">
        <f>IF($J24=0,100000,IF(Partecipanti!$B$8=$C24,100000,COUNTIF($S$6:$S23,Partecipanti!$B$8)*100+MOD(4-MATCH($C24,Partecipanti!$B$5:$B$9,0)-1,5)))</f>
        <v/>
      </c>
      <c r="R24">
        <f>IF($K24=0,100000,IF(Partecipanti!$B$9=$C24,100000,COUNTIF($S$6:$S23,Partecipanti!$B$9)*100+MOD(5-MATCH($C24,Partecipanti!$B$5:$B$9,0)-1,5)))</f>
        <v/>
      </c>
      <c r="S24">
        <f>IF(OR($E24=0,$M24=1),"",IF(MIN($N24:$R24)&gt;=100000,"DA ASSEGNARE",INDEX(Partecipanti!$B$5:$B$9,MATCH(MIN($N24:$R24),$N24:$R24,0))))</f>
        <v/>
      </c>
      <c r="T24">
        <f>IF(AND($F24=1,$S24&lt;&gt;"",$S24&lt;&gt;"DA ASSEGNARE"),$S24,"")</f>
        <v/>
      </c>
      <c r="U24">
        <f>IF($M24=1,$L24,IF($E24=0,$C24,$S24))</f>
        <v/>
      </c>
      <c r="V24">
        <f>IF($M24=1,"Recupero",IF($E24=0,"Ordinario",IF($S24="DA ASSEGNARE","DA ASSEGNARE","Sostituzione (doppio turno)")))</f>
        <v/>
      </c>
      <c r="W24">
        <f>IF(OR($M24=1,$E24=1),$C24,"")</f>
        <v/>
      </c>
      <c r="X24">
        <f>IF($M24=1,$L24&amp;" recupera il turno saltato nella settimana "&amp;($A24-1)&amp;"; "&amp;$C24&amp;" a riposo compensativo",IF($E24=1,$C24&amp;" assente ("&amp;$D24&amp;")"&amp;IF($S24="DA ASSEGNARE","; nessun sostituto disponibile","; sostituisce "&amp;$S24&amp;" con doppio turno")&amp;IF($F24=1,"; turno da recuperare nella settimana "&amp;($A24+1),"; turno non da recuperare"),""))</f>
        <v/>
      </c>
      <c r="Y24">
        <f>IF($M24=1,"recupera il turno saltato nella settimana "&amp;($A24-1)&amp;", "&amp;$C24&amp;" a riposo",IF($E24=1,IF($S24="DA ASSEGNARE","turno da assegnare: "&amp;$C24&amp;" assente","in sostituzione di "&amp;$C24&amp;", doppio turno"),""))</f>
        <v/>
      </c>
    </row>
    <row r="25">
      <c r="A25" t="n">
        <v>4</v>
      </c>
      <c r="B25" s="43" t="n">
        <v>46318</v>
      </c>
      <c r="C25">
        <f>Partecipanti!$B$9</f>
        <v/>
      </c>
      <c r="D25">
        <f>IF(COUNTIFS(A_PERS,$C25,A_SETT,$A25,A_TIPO,"Licenza - settimana intera")&gt;0,"Licenza - settimana intera",IF(COUNTIFS(A_PERS,$C25,A_SETT,$A25,A_TIPO,"Attività esterna - settimana intera")&gt;0,"Attività esterna - settimana intera",IF(COUNTIFS(A_PERS,$C25,A_DATA,$B25)&gt;0,INDEX(A_TIPO,MATCH(1,INDEX((A_PERS=$C25)*(A_DATA=$B25),0),0)),"")))</f>
        <v/>
      </c>
      <c r="E25">
        <f>IF($D25="",0,1)</f>
        <v/>
      </c>
      <c r="F25">
        <f>IF($E25=0,0,IF(OR($D25="Licenza - settimana intera",$D25="Attività esterna - settimana intera"),0,1))</f>
        <v/>
      </c>
      <c r="G25">
        <f>IF(COUNTIFS(A_PERS,Partecipanti!$B$5,A_DATA,$B25)+COUNTIFS(A_PERS,Partecipanti!$B$5,A_SETT,$A25,A_TIPO,"Licenza - settimana intera")+COUNTIFS(A_PERS,Partecipanti!$B$5,A_SETT,$A25,A_TIPO,"Attività esterna - settimana intera")&gt;0,0,1)</f>
        <v/>
      </c>
      <c r="H25">
        <f>IF(COUNTIFS(A_PERS,Partecipanti!$B$6,A_DATA,$B25)+COUNTIFS(A_PERS,Partecipanti!$B$6,A_SETT,$A25,A_TIPO,"Licenza - settimana intera")+COUNTIFS(A_PERS,Partecipanti!$B$6,A_SETT,$A25,A_TIPO,"Attività esterna - settimana intera")&gt;0,0,1)</f>
        <v/>
      </c>
      <c r="I25">
        <f>IF(COUNTIFS(A_PERS,Partecipanti!$B$7,A_DATA,$B25)+COUNTIFS(A_PERS,Partecipanti!$B$7,A_SETT,$A25,A_TIPO,"Licenza - settimana intera")+COUNTIFS(A_PERS,Partecipanti!$B$7,A_SETT,$A25,A_TIPO,"Attività esterna - settimana intera")&gt;0,0,1)</f>
        <v/>
      </c>
      <c r="J25">
        <f>IF(COUNTIFS(A_PERS,Partecipanti!$B$8,A_DATA,$B25)+COUNTIFS(A_PERS,Partecipanti!$B$8,A_SETT,$A25,A_TIPO,"Licenza - settimana intera")+COUNTIFS(A_PERS,Partecipanti!$B$8,A_SETT,$A25,A_TIPO,"Attività esterna - settimana intera")&gt;0,0,1)</f>
        <v/>
      </c>
      <c r="K25">
        <f>IF(COUNTIFS(A_PERS,Partecipanti!$B$9,A_DATA,$B25)+COUNTIFS(A_PERS,Partecipanti!$B$9,A_SETT,$A25,A_TIPO,"Licenza - settimana intera")+COUNTIFS(A_PERS,Partecipanti!$B$9,A_SETT,$A25,A_TIPO,"Attività esterna - settimana intera")&gt;0,0,1)</f>
        <v/>
      </c>
      <c r="L25">
        <f>IFERROR(INDEX($C16:$C20,MATCH(1,INDEX(($T16:$T20=$C25)*1,0),0)),"")</f>
        <v/>
      </c>
      <c r="M25">
        <f>IF($L25="",0,IF(INDEX($G25:$K25,MATCH($L25,Partecipanti!$B$5:$B$9,0))=1,1,0))</f>
        <v/>
      </c>
      <c r="N25">
        <f>IF($G25=0,100000,IF(Partecipanti!$B$5=$C25,100000,COUNTIF($S$6:$S24,Partecipanti!$B$5)*100+MOD(1-MATCH($C25,Partecipanti!$B$5:$B$9,0)-1,5)))</f>
        <v/>
      </c>
      <c r="O25">
        <f>IF($H25=0,100000,IF(Partecipanti!$B$6=$C25,100000,COUNTIF($S$6:$S24,Partecipanti!$B$6)*100+MOD(2-MATCH($C25,Partecipanti!$B$5:$B$9,0)-1,5)))</f>
        <v/>
      </c>
      <c r="P25">
        <f>IF($I25=0,100000,IF(Partecipanti!$B$7=$C25,100000,COUNTIF($S$6:$S24,Partecipanti!$B$7)*100+MOD(3-MATCH($C25,Partecipanti!$B$5:$B$9,0)-1,5)))</f>
        <v/>
      </c>
      <c r="Q25">
        <f>IF($J25=0,100000,IF(Partecipanti!$B$8=$C25,100000,COUNTIF($S$6:$S24,Partecipanti!$B$8)*100+MOD(4-MATCH($C25,Partecipanti!$B$5:$B$9,0)-1,5)))</f>
        <v/>
      </c>
      <c r="R25">
        <f>IF($K25=0,100000,IF(Partecipanti!$B$9=$C25,100000,COUNTIF($S$6:$S24,Partecipanti!$B$9)*100+MOD(5-MATCH($C25,Partecipanti!$B$5:$B$9,0)-1,5)))</f>
        <v/>
      </c>
      <c r="S25">
        <f>IF(OR($E25=0,$M25=1),"",IF(MIN($N25:$R25)&gt;=100000,"DA ASSEGNARE",INDEX(Partecipanti!$B$5:$B$9,MATCH(MIN($N25:$R25),$N25:$R25,0))))</f>
        <v/>
      </c>
      <c r="T25">
        <f>IF(AND($F25=1,$S25&lt;&gt;"",$S25&lt;&gt;"DA ASSEGNARE"),$S25,"")</f>
        <v/>
      </c>
      <c r="U25">
        <f>IF($M25=1,$L25,IF($E25=0,$C25,$S25))</f>
        <v/>
      </c>
      <c r="V25">
        <f>IF($M25=1,"Recupero",IF($E25=0,"Ordinario",IF($S25="DA ASSEGNARE","DA ASSEGNARE","Sostituzione (doppio turno)")))</f>
        <v/>
      </c>
      <c r="W25">
        <f>IF(OR($M25=1,$E25=1),$C25,"")</f>
        <v/>
      </c>
      <c r="X25">
        <f>IF($M25=1,$L25&amp;" recupera il turno saltato nella settimana "&amp;($A25-1)&amp;"; "&amp;$C25&amp;" a riposo compensativo",IF($E25=1,$C25&amp;" assente ("&amp;$D25&amp;")"&amp;IF($S25="DA ASSEGNARE","; nessun sostituto disponibile","; sostituisce "&amp;$S25&amp;" con doppio turno")&amp;IF($F25=1,"; turno da recuperare nella settimana "&amp;($A25+1),"; turno non da recuperare"),""))</f>
        <v/>
      </c>
      <c r="Y25">
        <f>IF($M25=1,"recupera il turno saltato nella settimana "&amp;($A25-1)&amp;", "&amp;$C25&amp;" a riposo",IF($E25=1,IF($S25="DA ASSEGNARE","turno da assegnare: "&amp;$C25&amp;" assente","in sostituzione di "&amp;$C25&amp;", doppio turno"),""))</f>
        <v/>
      </c>
    </row>
    <row r="26">
      <c r="A26" t="n">
        <v>5</v>
      </c>
      <c r="B26" s="43" t="n">
        <v>46321</v>
      </c>
      <c r="C26">
        <f>Partecipanti!$B$5</f>
        <v/>
      </c>
      <c r="D26">
        <f>IF(COUNTIFS(A_PERS,$C26,A_SETT,$A26,A_TIPO,"Licenza - settimana intera")&gt;0,"Licenza - settimana intera",IF(COUNTIFS(A_PERS,$C26,A_SETT,$A26,A_TIPO,"Attività esterna - settimana intera")&gt;0,"Attività esterna - settimana intera",IF(COUNTIFS(A_PERS,$C26,A_DATA,$B26)&gt;0,INDEX(A_TIPO,MATCH(1,INDEX((A_PERS=$C26)*(A_DATA=$B26),0),0)),"")))</f>
        <v/>
      </c>
      <c r="E26">
        <f>IF($D26="",0,1)</f>
        <v/>
      </c>
      <c r="F26">
        <f>IF($E26=0,0,IF(OR($D26="Licenza - settimana intera",$D26="Attività esterna - settimana intera"),0,1))</f>
        <v/>
      </c>
      <c r="G26">
        <f>IF(COUNTIFS(A_PERS,Partecipanti!$B$5,A_DATA,$B26)+COUNTIFS(A_PERS,Partecipanti!$B$5,A_SETT,$A26,A_TIPO,"Licenza - settimana intera")+COUNTIFS(A_PERS,Partecipanti!$B$5,A_SETT,$A26,A_TIPO,"Attività esterna - settimana intera")&gt;0,0,1)</f>
        <v/>
      </c>
      <c r="H26">
        <f>IF(COUNTIFS(A_PERS,Partecipanti!$B$6,A_DATA,$B26)+COUNTIFS(A_PERS,Partecipanti!$B$6,A_SETT,$A26,A_TIPO,"Licenza - settimana intera")+COUNTIFS(A_PERS,Partecipanti!$B$6,A_SETT,$A26,A_TIPO,"Attività esterna - settimana intera")&gt;0,0,1)</f>
        <v/>
      </c>
      <c r="I26">
        <f>IF(COUNTIFS(A_PERS,Partecipanti!$B$7,A_DATA,$B26)+COUNTIFS(A_PERS,Partecipanti!$B$7,A_SETT,$A26,A_TIPO,"Licenza - settimana intera")+COUNTIFS(A_PERS,Partecipanti!$B$7,A_SETT,$A26,A_TIPO,"Attività esterna - settimana intera")&gt;0,0,1)</f>
        <v/>
      </c>
      <c r="J26">
        <f>IF(COUNTIFS(A_PERS,Partecipanti!$B$8,A_DATA,$B26)+COUNTIFS(A_PERS,Partecipanti!$B$8,A_SETT,$A26,A_TIPO,"Licenza - settimana intera")+COUNTIFS(A_PERS,Partecipanti!$B$8,A_SETT,$A26,A_TIPO,"Attività esterna - settimana intera")&gt;0,0,1)</f>
        <v/>
      </c>
      <c r="K26">
        <f>IF(COUNTIFS(A_PERS,Partecipanti!$B$9,A_DATA,$B26)+COUNTIFS(A_PERS,Partecipanti!$B$9,A_SETT,$A26,A_TIPO,"Licenza - settimana intera")+COUNTIFS(A_PERS,Partecipanti!$B$9,A_SETT,$A26,A_TIPO,"Attività esterna - settimana intera")&gt;0,0,1)</f>
        <v/>
      </c>
      <c r="L26">
        <f>IFERROR(INDEX($C21:$C25,MATCH(1,INDEX(($T21:$T25=$C26)*1,0),0)),"")</f>
        <v/>
      </c>
      <c r="M26">
        <f>IF($L26="",0,IF(INDEX($G26:$K26,MATCH($L26,Partecipanti!$B$5:$B$9,0))=1,1,0))</f>
        <v/>
      </c>
      <c r="N26">
        <f>IF($G26=0,100000,IF(Partecipanti!$B$5=$C26,100000,COUNTIF($S$6:$S25,Partecipanti!$B$5)*100+MOD(1-MATCH($C26,Partecipanti!$B$5:$B$9,0)-1,5)))</f>
        <v/>
      </c>
      <c r="O26">
        <f>IF($H26=0,100000,IF(Partecipanti!$B$6=$C26,100000,COUNTIF($S$6:$S25,Partecipanti!$B$6)*100+MOD(2-MATCH($C26,Partecipanti!$B$5:$B$9,0)-1,5)))</f>
        <v/>
      </c>
      <c r="P26">
        <f>IF($I26=0,100000,IF(Partecipanti!$B$7=$C26,100000,COUNTIF($S$6:$S25,Partecipanti!$B$7)*100+MOD(3-MATCH($C26,Partecipanti!$B$5:$B$9,0)-1,5)))</f>
        <v/>
      </c>
      <c r="Q26">
        <f>IF($J26=0,100000,IF(Partecipanti!$B$8=$C26,100000,COUNTIF($S$6:$S25,Partecipanti!$B$8)*100+MOD(4-MATCH($C26,Partecipanti!$B$5:$B$9,0)-1,5)))</f>
        <v/>
      </c>
      <c r="R26">
        <f>IF($K26=0,100000,IF(Partecipanti!$B$9=$C26,100000,COUNTIF($S$6:$S25,Partecipanti!$B$9)*100+MOD(5-MATCH($C26,Partecipanti!$B$5:$B$9,0)-1,5)))</f>
        <v/>
      </c>
      <c r="S26">
        <f>IF(OR($E26=0,$M26=1),"",IF(MIN($N26:$R26)&gt;=100000,"DA ASSEGNARE",INDEX(Partecipanti!$B$5:$B$9,MATCH(MIN($N26:$R26),$N26:$R26,0))))</f>
        <v/>
      </c>
      <c r="T26">
        <f>IF(AND($F26=1,$S26&lt;&gt;"",$S26&lt;&gt;"DA ASSEGNARE"),$S26,"")</f>
        <v/>
      </c>
      <c r="U26">
        <f>IF($M26=1,$L26,IF($E26=0,$C26,$S26))</f>
        <v/>
      </c>
      <c r="V26">
        <f>IF($M26=1,"Recupero",IF($E26=0,"Ordinario",IF($S26="DA ASSEGNARE","DA ASSEGNARE","Sostituzione (doppio turno)")))</f>
        <v/>
      </c>
      <c r="W26">
        <f>IF(OR($M26=1,$E26=1),$C26,"")</f>
        <v/>
      </c>
      <c r="X26">
        <f>IF($M26=1,$L26&amp;" recupera il turno saltato nella settimana "&amp;($A26-1)&amp;"; "&amp;$C26&amp;" a riposo compensativo",IF($E26=1,$C26&amp;" assente ("&amp;$D26&amp;")"&amp;IF($S26="DA ASSEGNARE","; nessun sostituto disponibile","; sostituisce "&amp;$S26&amp;" con doppio turno")&amp;IF($F26=1,"; turno da recuperare nella settimana "&amp;($A26+1),"; turno non da recuperare"),""))</f>
        <v/>
      </c>
      <c r="Y26">
        <f>IF($M26=1,"recupera il turno saltato nella settimana "&amp;($A26-1)&amp;", "&amp;$C26&amp;" a riposo",IF($E26=1,IF($S26="DA ASSEGNARE","turno da assegnare: "&amp;$C26&amp;" assente","in sostituzione di "&amp;$C26&amp;", doppio turno"),""))</f>
        <v/>
      </c>
    </row>
    <row r="27">
      <c r="A27" t="n">
        <v>5</v>
      </c>
      <c r="B27" s="43" t="n">
        <v>46322</v>
      </c>
      <c r="C27">
        <f>Partecipanti!$B$6</f>
        <v/>
      </c>
      <c r="D27">
        <f>IF(COUNTIFS(A_PERS,$C27,A_SETT,$A27,A_TIPO,"Licenza - settimana intera")&gt;0,"Licenza - settimana intera",IF(COUNTIFS(A_PERS,$C27,A_SETT,$A27,A_TIPO,"Attività esterna - settimana intera")&gt;0,"Attività esterna - settimana intera",IF(COUNTIFS(A_PERS,$C27,A_DATA,$B27)&gt;0,INDEX(A_TIPO,MATCH(1,INDEX((A_PERS=$C27)*(A_DATA=$B27),0),0)),"")))</f>
        <v/>
      </c>
      <c r="E27">
        <f>IF($D27="",0,1)</f>
        <v/>
      </c>
      <c r="F27">
        <f>IF($E27=0,0,IF(OR($D27="Licenza - settimana intera",$D27="Attività esterna - settimana intera"),0,1))</f>
        <v/>
      </c>
      <c r="G27">
        <f>IF(COUNTIFS(A_PERS,Partecipanti!$B$5,A_DATA,$B27)+COUNTIFS(A_PERS,Partecipanti!$B$5,A_SETT,$A27,A_TIPO,"Licenza - settimana intera")+COUNTIFS(A_PERS,Partecipanti!$B$5,A_SETT,$A27,A_TIPO,"Attività esterna - settimana intera")&gt;0,0,1)</f>
        <v/>
      </c>
      <c r="H27">
        <f>IF(COUNTIFS(A_PERS,Partecipanti!$B$6,A_DATA,$B27)+COUNTIFS(A_PERS,Partecipanti!$B$6,A_SETT,$A27,A_TIPO,"Licenza - settimana intera")+COUNTIFS(A_PERS,Partecipanti!$B$6,A_SETT,$A27,A_TIPO,"Attività esterna - settimana intera")&gt;0,0,1)</f>
        <v/>
      </c>
      <c r="I27">
        <f>IF(COUNTIFS(A_PERS,Partecipanti!$B$7,A_DATA,$B27)+COUNTIFS(A_PERS,Partecipanti!$B$7,A_SETT,$A27,A_TIPO,"Licenza - settimana intera")+COUNTIFS(A_PERS,Partecipanti!$B$7,A_SETT,$A27,A_TIPO,"Attività esterna - settimana intera")&gt;0,0,1)</f>
        <v/>
      </c>
      <c r="J27">
        <f>IF(COUNTIFS(A_PERS,Partecipanti!$B$8,A_DATA,$B27)+COUNTIFS(A_PERS,Partecipanti!$B$8,A_SETT,$A27,A_TIPO,"Licenza - settimana intera")+COUNTIFS(A_PERS,Partecipanti!$B$8,A_SETT,$A27,A_TIPO,"Attività esterna - settimana intera")&gt;0,0,1)</f>
        <v/>
      </c>
      <c r="K27">
        <f>IF(COUNTIFS(A_PERS,Partecipanti!$B$9,A_DATA,$B27)+COUNTIFS(A_PERS,Partecipanti!$B$9,A_SETT,$A27,A_TIPO,"Licenza - settimana intera")+COUNTIFS(A_PERS,Partecipanti!$B$9,A_SETT,$A27,A_TIPO,"Attività esterna - settimana intera")&gt;0,0,1)</f>
        <v/>
      </c>
      <c r="L27">
        <f>IFERROR(INDEX($C21:$C25,MATCH(1,INDEX(($T21:$T25=$C27)*1,0),0)),"")</f>
        <v/>
      </c>
      <c r="M27">
        <f>IF($L27="",0,IF(INDEX($G27:$K27,MATCH($L27,Partecipanti!$B$5:$B$9,0))=1,1,0))</f>
        <v/>
      </c>
      <c r="N27">
        <f>IF($G27=0,100000,IF(Partecipanti!$B$5=$C27,100000,COUNTIF($S$6:$S26,Partecipanti!$B$5)*100+MOD(1-MATCH($C27,Partecipanti!$B$5:$B$9,0)-1,5)))</f>
        <v/>
      </c>
      <c r="O27">
        <f>IF($H27=0,100000,IF(Partecipanti!$B$6=$C27,100000,COUNTIF($S$6:$S26,Partecipanti!$B$6)*100+MOD(2-MATCH($C27,Partecipanti!$B$5:$B$9,0)-1,5)))</f>
        <v/>
      </c>
      <c r="P27">
        <f>IF($I27=0,100000,IF(Partecipanti!$B$7=$C27,100000,COUNTIF($S$6:$S26,Partecipanti!$B$7)*100+MOD(3-MATCH($C27,Partecipanti!$B$5:$B$9,0)-1,5)))</f>
        <v/>
      </c>
      <c r="Q27">
        <f>IF($J27=0,100000,IF(Partecipanti!$B$8=$C27,100000,COUNTIF($S$6:$S26,Partecipanti!$B$8)*100+MOD(4-MATCH($C27,Partecipanti!$B$5:$B$9,0)-1,5)))</f>
        <v/>
      </c>
      <c r="R27">
        <f>IF($K27=0,100000,IF(Partecipanti!$B$9=$C27,100000,COUNTIF($S$6:$S26,Partecipanti!$B$9)*100+MOD(5-MATCH($C27,Partecipanti!$B$5:$B$9,0)-1,5)))</f>
        <v/>
      </c>
      <c r="S27">
        <f>IF(OR($E27=0,$M27=1),"",IF(MIN($N27:$R27)&gt;=100000,"DA ASSEGNARE",INDEX(Partecipanti!$B$5:$B$9,MATCH(MIN($N27:$R27),$N27:$R27,0))))</f>
        <v/>
      </c>
      <c r="T27">
        <f>IF(AND($F27=1,$S27&lt;&gt;"",$S27&lt;&gt;"DA ASSEGNARE"),$S27,"")</f>
        <v/>
      </c>
      <c r="U27">
        <f>IF($M27=1,$L27,IF($E27=0,$C27,$S27))</f>
        <v/>
      </c>
      <c r="V27">
        <f>IF($M27=1,"Recupero",IF($E27=0,"Ordinario",IF($S27="DA ASSEGNARE","DA ASSEGNARE","Sostituzione (doppio turno)")))</f>
        <v/>
      </c>
      <c r="W27">
        <f>IF(OR($M27=1,$E27=1),$C27,"")</f>
        <v/>
      </c>
      <c r="X27">
        <f>IF($M27=1,$L27&amp;" recupera il turno saltato nella settimana "&amp;($A27-1)&amp;"; "&amp;$C27&amp;" a riposo compensativo",IF($E27=1,$C27&amp;" assente ("&amp;$D27&amp;")"&amp;IF($S27="DA ASSEGNARE","; nessun sostituto disponibile","; sostituisce "&amp;$S27&amp;" con doppio turno")&amp;IF($F27=1,"; turno da recuperare nella settimana "&amp;($A27+1),"; turno non da recuperare"),""))</f>
        <v/>
      </c>
      <c r="Y27">
        <f>IF($M27=1,"recupera il turno saltato nella settimana "&amp;($A27-1)&amp;", "&amp;$C27&amp;" a riposo",IF($E27=1,IF($S27="DA ASSEGNARE","turno da assegnare: "&amp;$C27&amp;" assente","in sostituzione di "&amp;$C27&amp;", doppio turno"),""))</f>
        <v/>
      </c>
    </row>
    <row r="28">
      <c r="A28" t="n">
        <v>5</v>
      </c>
      <c r="B28" s="43" t="n">
        <v>46323</v>
      </c>
      <c r="C28">
        <f>Partecipanti!$B$7</f>
        <v/>
      </c>
      <c r="D28">
        <f>IF(COUNTIFS(A_PERS,$C28,A_SETT,$A28,A_TIPO,"Licenza - settimana intera")&gt;0,"Licenza - settimana intera",IF(COUNTIFS(A_PERS,$C28,A_SETT,$A28,A_TIPO,"Attività esterna - settimana intera")&gt;0,"Attività esterna - settimana intera",IF(COUNTIFS(A_PERS,$C28,A_DATA,$B28)&gt;0,INDEX(A_TIPO,MATCH(1,INDEX((A_PERS=$C28)*(A_DATA=$B28),0),0)),"")))</f>
        <v/>
      </c>
      <c r="E28">
        <f>IF($D28="",0,1)</f>
        <v/>
      </c>
      <c r="F28">
        <f>IF($E28=0,0,IF(OR($D28="Licenza - settimana intera",$D28="Attività esterna - settimana intera"),0,1))</f>
        <v/>
      </c>
      <c r="G28">
        <f>IF(COUNTIFS(A_PERS,Partecipanti!$B$5,A_DATA,$B28)+COUNTIFS(A_PERS,Partecipanti!$B$5,A_SETT,$A28,A_TIPO,"Licenza - settimana intera")+COUNTIFS(A_PERS,Partecipanti!$B$5,A_SETT,$A28,A_TIPO,"Attività esterna - settimana intera")&gt;0,0,1)</f>
        <v/>
      </c>
      <c r="H28">
        <f>IF(COUNTIFS(A_PERS,Partecipanti!$B$6,A_DATA,$B28)+COUNTIFS(A_PERS,Partecipanti!$B$6,A_SETT,$A28,A_TIPO,"Licenza - settimana intera")+COUNTIFS(A_PERS,Partecipanti!$B$6,A_SETT,$A28,A_TIPO,"Attività esterna - settimana intera")&gt;0,0,1)</f>
        <v/>
      </c>
      <c r="I28">
        <f>IF(COUNTIFS(A_PERS,Partecipanti!$B$7,A_DATA,$B28)+COUNTIFS(A_PERS,Partecipanti!$B$7,A_SETT,$A28,A_TIPO,"Licenza - settimana intera")+COUNTIFS(A_PERS,Partecipanti!$B$7,A_SETT,$A28,A_TIPO,"Attività esterna - settimana intera")&gt;0,0,1)</f>
        <v/>
      </c>
      <c r="J28">
        <f>IF(COUNTIFS(A_PERS,Partecipanti!$B$8,A_DATA,$B28)+COUNTIFS(A_PERS,Partecipanti!$B$8,A_SETT,$A28,A_TIPO,"Licenza - settimana intera")+COUNTIFS(A_PERS,Partecipanti!$B$8,A_SETT,$A28,A_TIPO,"Attività esterna - settimana intera")&gt;0,0,1)</f>
        <v/>
      </c>
      <c r="K28">
        <f>IF(COUNTIFS(A_PERS,Partecipanti!$B$9,A_DATA,$B28)+COUNTIFS(A_PERS,Partecipanti!$B$9,A_SETT,$A28,A_TIPO,"Licenza - settimana intera")+COUNTIFS(A_PERS,Partecipanti!$B$9,A_SETT,$A28,A_TIPO,"Attività esterna - settimana intera")&gt;0,0,1)</f>
        <v/>
      </c>
      <c r="L28">
        <f>IFERROR(INDEX($C21:$C25,MATCH(1,INDEX(($T21:$T25=$C28)*1,0),0)),"")</f>
        <v/>
      </c>
      <c r="M28">
        <f>IF($L28="",0,IF(INDEX($G28:$K28,MATCH($L28,Partecipanti!$B$5:$B$9,0))=1,1,0))</f>
        <v/>
      </c>
      <c r="N28">
        <f>IF($G28=0,100000,IF(Partecipanti!$B$5=$C28,100000,COUNTIF($S$6:$S27,Partecipanti!$B$5)*100+MOD(1-MATCH($C28,Partecipanti!$B$5:$B$9,0)-1,5)))</f>
        <v/>
      </c>
      <c r="O28">
        <f>IF($H28=0,100000,IF(Partecipanti!$B$6=$C28,100000,COUNTIF($S$6:$S27,Partecipanti!$B$6)*100+MOD(2-MATCH($C28,Partecipanti!$B$5:$B$9,0)-1,5)))</f>
        <v/>
      </c>
      <c r="P28">
        <f>IF($I28=0,100000,IF(Partecipanti!$B$7=$C28,100000,COUNTIF($S$6:$S27,Partecipanti!$B$7)*100+MOD(3-MATCH($C28,Partecipanti!$B$5:$B$9,0)-1,5)))</f>
        <v/>
      </c>
      <c r="Q28">
        <f>IF($J28=0,100000,IF(Partecipanti!$B$8=$C28,100000,COUNTIF($S$6:$S27,Partecipanti!$B$8)*100+MOD(4-MATCH($C28,Partecipanti!$B$5:$B$9,0)-1,5)))</f>
        <v/>
      </c>
      <c r="R28">
        <f>IF($K28=0,100000,IF(Partecipanti!$B$9=$C28,100000,COUNTIF($S$6:$S27,Partecipanti!$B$9)*100+MOD(5-MATCH($C28,Partecipanti!$B$5:$B$9,0)-1,5)))</f>
        <v/>
      </c>
      <c r="S28">
        <f>IF(OR($E28=0,$M28=1),"",IF(MIN($N28:$R28)&gt;=100000,"DA ASSEGNARE",INDEX(Partecipanti!$B$5:$B$9,MATCH(MIN($N28:$R28),$N28:$R28,0))))</f>
        <v/>
      </c>
      <c r="T28">
        <f>IF(AND($F28=1,$S28&lt;&gt;"",$S28&lt;&gt;"DA ASSEGNARE"),$S28,"")</f>
        <v/>
      </c>
      <c r="U28">
        <f>IF($M28=1,$L28,IF($E28=0,$C28,$S28))</f>
        <v/>
      </c>
      <c r="V28">
        <f>IF($M28=1,"Recupero",IF($E28=0,"Ordinario",IF($S28="DA ASSEGNARE","DA ASSEGNARE","Sostituzione (doppio turno)")))</f>
        <v/>
      </c>
      <c r="W28">
        <f>IF(OR($M28=1,$E28=1),$C28,"")</f>
        <v/>
      </c>
      <c r="X28">
        <f>IF($M28=1,$L28&amp;" recupera il turno saltato nella settimana "&amp;($A28-1)&amp;"; "&amp;$C28&amp;" a riposo compensativo",IF($E28=1,$C28&amp;" assente ("&amp;$D28&amp;")"&amp;IF($S28="DA ASSEGNARE","; nessun sostituto disponibile","; sostituisce "&amp;$S28&amp;" con doppio turno")&amp;IF($F28=1,"; turno da recuperare nella settimana "&amp;($A28+1),"; turno non da recuperare"),""))</f>
        <v/>
      </c>
      <c r="Y28">
        <f>IF($M28=1,"recupera il turno saltato nella settimana "&amp;($A28-1)&amp;", "&amp;$C28&amp;" a riposo",IF($E28=1,IF($S28="DA ASSEGNARE","turno da assegnare: "&amp;$C28&amp;" assente","in sostituzione di "&amp;$C28&amp;", doppio turno"),""))</f>
        <v/>
      </c>
    </row>
    <row r="29">
      <c r="A29" t="n">
        <v>5</v>
      </c>
      <c r="B29" s="43" t="n">
        <v>46324</v>
      </c>
      <c r="C29">
        <f>Partecipanti!$B$8</f>
        <v/>
      </c>
      <c r="D29">
        <f>IF(COUNTIFS(A_PERS,$C29,A_SETT,$A29,A_TIPO,"Licenza - settimana intera")&gt;0,"Licenza - settimana intera",IF(COUNTIFS(A_PERS,$C29,A_SETT,$A29,A_TIPO,"Attività esterna - settimana intera")&gt;0,"Attività esterna - settimana intera",IF(COUNTIFS(A_PERS,$C29,A_DATA,$B29)&gt;0,INDEX(A_TIPO,MATCH(1,INDEX((A_PERS=$C29)*(A_DATA=$B29),0),0)),"")))</f>
        <v/>
      </c>
      <c r="E29">
        <f>IF($D29="",0,1)</f>
        <v/>
      </c>
      <c r="F29">
        <f>IF($E29=0,0,IF(OR($D29="Licenza - settimana intera",$D29="Attività esterna - settimana intera"),0,1))</f>
        <v/>
      </c>
      <c r="G29">
        <f>IF(COUNTIFS(A_PERS,Partecipanti!$B$5,A_DATA,$B29)+COUNTIFS(A_PERS,Partecipanti!$B$5,A_SETT,$A29,A_TIPO,"Licenza - settimana intera")+COUNTIFS(A_PERS,Partecipanti!$B$5,A_SETT,$A29,A_TIPO,"Attività esterna - settimana intera")&gt;0,0,1)</f>
        <v/>
      </c>
      <c r="H29">
        <f>IF(COUNTIFS(A_PERS,Partecipanti!$B$6,A_DATA,$B29)+COUNTIFS(A_PERS,Partecipanti!$B$6,A_SETT,$A29,A_TIPO,"Licenza - settimana intera")+COUNTIFS(A_PERS,Partecipanti!$B$6,A_SETT,$A29,A_TIPO,"Attività esterna - settimana intera")&gt;0,0,1)</f>
        <v/>
      </c>
      <c r="I29">
        <f>IF(COUNTIFS(A_PERS,Partecipanti!$B$7,A_DATA,$B29)+COUNTIFS(A_PERS,Partecipanti!$B$7,A_SETT,$A29,A_TIPO,"Licenza - settimana intera")+COUNTIFS(A_PERS,Partecipanti!$B$7,A_SETT,$A29,A_TIPO,"Attività esterna - settimana intera")&gt;0,0,1)</f>
        <v/>
      </c>
      <c r="J29">
        <f>IF(COUNTIFS(A_PERS,Partecipanti!$B$8,A_DATA,$B29)+COUNTIFS(A_PERS,Partecipanti!$B$8,A_SETT,$A29,A_TIPO,"Licenza - settimana intera")+COUNTIFS(A_PERS,Partecipanti!$B$8,A_SETT,$A29,A_TIPO,"Attività esterna - settimana intera")&gt;0,0,1)</f>
        <v/>
      </c>
      <c r="K29">
        <f>IF(COUNTIFS(A_PERS,Partecipanti!$B$9,A_DATA,$B29)+COUNTIFS(A_PERS,Partecipanti!$B$9,A_SETT,$A29,A_TIPO,"Licenza - settimana intera")+COUNTIFS(A_PERS,Partecipanti!$B$9,A_SETT,$A29,A_TIPO,"Attività esterna - settimana intera")&gt;0,0,1)</f>
        <v/>
      </c>
      <c r="L29">
        <f>IFERROR(INDEX($C21:$C25,MATCH(1,INDEX(($T21:$T25=$C29)*1,0),0)),"")</f>
        <v/>
      </c>
      <c r="M29">
        <f>IF($L29="",0,IF(INDEX($G29:$K29,MATCH($L29,Partecipanti!$B$5:$B$9,0))=1,1,0))</f>
        <v/>
      </c>
      <c r="N29">
        <f>IF($G29=0,100000,IF(Partecipanti!$B$5=$C29,100000,COUNTIF($S$6:$S28,Partecipanti!$B$5)*100+MOD(1-MATCH($C29,Partecipanti!$B$5:$B$9,0)-1,5)))</f>
        <v/>
      </c>
      <c r="O29">
        <f>IF($H29=0,100000,IF(Partecipanti!$B$6=$C29,100000,COUNTIF($S$6:$S28,Partecipanti!$B$6)*100+MOD(2-MATCH($C29,Partecipanti!$B$5:$B$9,0)-1,5)))</f>
        <v/>
      </c>
      <c r="P29">
        <f>IF($I29=0,100000,IF(Partecipanti!$B$7=$C29,100000,COUNTIF($S$6:$S28,Partecipanti!$B$7)*100+MOD(3-MATCH($C29,Partecipanti!$B$5:$B$9,0)-1,5)))</f>
        <v/>
      </c>
      <c r="Q29">
        <f>IF($J29=0,100000,IF(Partecipanti!$B$8=$C29,100000,COUNTIF($S$6:$S28,Partecipanti!$B$8)*100+MOD(4-MATCH($C29,Partecipanti!$B$5:$B$9,0)-1,5)))</f>
        <v/>
      </c>
      <c r="R29">
        <f>IF($K29=0,100000,IF(Partecipanti!$B$9=$C29,100000,COUNTIF($S$6:$S28,Partecipanti!$B$9)*100+MOD(5-MATCH($C29,Partecipanti!$B$5:$B$9,0)-1,5)))</f>
        <v/>
      </c>
      <c r="S29">
        <f>IF(OR($E29=0,$M29=1),"",IF(MIN($N29:$R29)&gt;=100000,"DA ASSEGNARE",INDEX(Partecipanti!$B$5:$B$9,MATCH(MIN($N29:$R29),$N29:$R29,0))))</f>
        <v/>
      </c>
      <c r="T29">
        <f>IF(AND($F29=1,$S29&lt;&gt;"",$S29&lt;&gt;"DA ASSEGNARE"),$S29,"")</f>
        <v/>
      </c>
      <c r="U29">
        <f>IF($M29=1,$L29,IF($E29=0,$C29,$S29))</f>
        <v/>
      </c>
      <c r="V29">
        <f>IF($M29=1,"Recupero",IF($E29=0,"Ordinario",IF($S29="DA ASSEGNARE","DA ASSEGNARE","Sostituzione (doppio turno)")))</f>
        <v/>
      </c>
      <c r="W29">
        <f>IF(OR($M29=1,$E29=1),$C29,"")</f>
        <v/>
      </c>
      <c r="X29">
        <f>IF($M29=1,$L29&amp;" recupera il turno saltato nella settimana "&amp;($A29-1)&amp;"; "&amp;$C29&amp;" a riposo compensativo",IF($E29=1,$C29&amp;" assente ("&amp;$D29&amp;")"&amp;IF($S29="DA ASSEGNARE","; nessun sostituto disponibile","; sostituisce "&amp;$S29&amp;" con doppio turno")&amp;IF($F29=1,"; turno da recuperare nella settimana "&amp;($A29+1),"; turno non da recuperare"),""))</f>
        <v/>
      </c>
      <c r="Y29">
        <f>IF($M29=1,"recupera il turno saltato nella settimana "&amp;($A29-1)&amp;", "&amp;$C29&amp;" a riposo",IF($E29=1,IF($S29="DA ASSEGNARE","turno da assegnare: "&amp;$C29&amp;" assente","in sostituzione di "&amp;$C29&amp;", doppio turno"),""))</f>
        <v/>
      </c>
    </row>
    <row r="30">
      <c r="A30" t="n">
        <v>5</v>
      </c>
      <c r="B30" s="43" t="n">
        <v>46325</v>
      </c>
      <c r="C30">
        <f>Partecipanti!$B$9</f>
        <v/>
      </c>
      <c r="D30">
        <f>IF(COUNTIFS(A_PERS,$C30,A_SETT,$A30,A_TIPO,"Licenza - settimana intera")&gt;0,"Licenza - settimana intera",IF(COUNTIFS(A_PERS,$C30,A_SETT,$A30,A_TIPO,"Attività esterna - settimana intera")&gt;0,"Attività esterna - settimana intera",IF(COUNTIFS(A_PERS,$C30,A_DATA,$B30)&gt;0,INDEX(A_TIPO,MATCH(1,INDEX((A_PERS=$C30)*(A_DATA=$B30),0),0)),"")))</f>
        <v/>
      </c>
      <c r="E30">
        <f>IF($D30="",0,1)</f>
        <v/>
      </c>
      <c r="F30">
        <f>IF($E30=0,0,IF(OR($D30="Licenza - settimana intera",$D30="Attività esterna - settimana intera"),0,1))</f>
        <v/>
      </c>
      <c r="G30">
        <f>IF(COUNTIFS(A_PERS,Partecipanti!$B$5,A_DATA,$B30)+COUNTIFS(A_PERS,Partecipanti!$B$5,A_SETT,$A30,A_TIPO,"Licenza - settimana intera")+COUNTIFS(A_PERS,Partecipanti!$B$5,A_SETT,$A30,A_TIPO,"Attività esterna - settimana intera")&gt;0,0,1)</f>
        <v/>
      </c>
      <c r="H30">
        <f>IF(COUNTIFS(A_PERS,Partecipanti!$B$6,A_DATA,$B30)+COUNTIFS(A_PERS,Partecipanti!$B$6,A_SETT,$A30,A_TIPO,"Licenza - settimana intera")+COUNTIFS(A_PERS,Partecipanti!$B$6,A_SETT,$A30,A_TIPO,"Attività esterna - settimana intera")&gt;0,0,1)</f>
        <v/>
      </c>
      <c r="I30">
        <f>IF(COUNTIFS(A_PERS,Partecipanti!$B$7,A_DATA,$B30)+COUNTIFS(A_PERS,Partecipanti!$B$7,A_SETT,$A30,A_TIPO,"Licenza - settimana intera")+COUNTIFS(A_PERS,Partecipanti!$B$7,A_SETT,$A30,A_TIPO,"Attività esterna - settimana intera")&gt;0,0,1)</f>
        <v/>
      </c>
      <c r="J30">
        <f>IF(COUNTIFS(A_PERS,Partecipanti!$B$8,A_DATA,$B30)+COUNTIFS(A_PERS,Partecipanti!$B$8,A_SETT,$A30,A_TIPO,"Licenza - settimana intera")+COUNTIFS(A_PERS,Partecipanti!$B$8,A_SETT,$A30,A_TIPO,"Attività esterna - settimana intera")&gt;0,0,1)</f>
        <v/>
      </c>
      <c r="K30">
        <f>IF(COUNTIFS(A_PERS,Partecipanti!$B$9,A_DATA,$B30)+COUNTIFS(A_PERS,Partecipanti!$B$9,A_SETT,$A30,A_TIPO,"Licenza - settimana intera")+COUNTIFS(A_PERS,Partecipanti!$B$9,A_SETT,$A30,A_TIPO,"Attività esterna - settimana intera")&gt;0,0,1)</f>
        <v/>
      </c>
      <c r="L30">
        <f>IFERROR(INDEX($C21:$C25,MATCH(1,INDEX(($T21:$T25=$C30)*1,0),0)),"")</f>
        <v/>
      </c>
      <c r="M30">
        <f>IF($L30="",0,IF(INDEX($G30:$K30,MATCH($L30,Partecipanti!$B$5:$B$9,0))=1,1,0))</f>
        <v/>
      </c>
      <c r="N30">
        <f>IF($G30=0,100000,IF(Partecipanti!$B$5=$C30,100000,COUNTIF($S$6:$S29,Partecipanti!$B$5)*100+MOD(1-MATCH($C30,Partecipanti!$B$5:$B$9,0)-1,5)))</f>
        <v/>
      </c>
      <c r="O30">
        <f>IF($H30=0,100000,IF(Partecipanti!$B$6=$C30,100000,COUNTIF($S$6:$S29,Partecipanti!$B$6)*100+MOD(2-MATCH($C30,Partecipanti!$B$5:$B$9,0)-1,5)))</f>
        <v/>
      </c>
      <c r="P30">
        <f>IF($I30=0,100000,IF(Partecipanti!$B$7=$C30,100000,COUNTIF($S$6:$S29,Partecipanti!$B$7)*100+MOD(3-MATCH($C30,Partecipanti!$B$5:$B$9,0)-1,5)))</f>
        <v/>
      </c>
      <c r="Q30">
        <f>IF($J30=0,100000,IF(Partecipanti!$B$8=$C30,100000,COUNTIF($S$6:$S29,Partecipanti!$B$8)*100+MOD(4-MATCH($C30,Partecipanti!$B$5:$B$9,0)-1,5)))</f>
        <v/>
      </c>
      <c r="R30">
        <f>IF($K30=0,100000,IF(Partecipanti!$B$9=$C30,100000,COUNTIF($S$6:$S29,Partecipanti!$B$9)*100+MOD(5-MATCH($C30,Partecipanti!$B$5:$B$9,0)-1,5)))</f>
        <v/>
      </c>
      <c r="S30">
        <f>IF(OR($E30=0,$M30=1),"",IF(MIN($N30:$R30)&gt;=100000,"DA ASSEGNARE",INDEX(Partecipanti!$B$5:$B$9,MATCH(MIN($N30:$R30),$N30:$R30,0))))</f>
        <v/>
      </c>
      <c r="T30">
        <f>IF(AND($F30=1,$S30&lt;&gt;"",$S30&lt;&gt;"DA ASSEGNARE"),$S30,"")</f>
        <v/>
      </c>
      <c r="U30">
        <f>IF($M30=1,$L30,IF($E30=0,$C30,$S30))</f>
        <v/>
      </c>
      <c r="V30">
        <f>IF($M30=1,"Recupero",IF($E30=0,"Ordinario",IF($S30="DA ASSEGNARE","DA ASSEGNARE","Sostituzione (doppio turno)")))</f>
        <v/>
      </c>
      <c r="W30">
        <f>IF(OR($M30=1,$E30=1),$C30,"")</f>
        <v/>
      </c>
      <c r="X30">
        <f>IF($M30=1,$L30&amp;" recupera il turno saltato nella settimana "&amp;($A30-1)&amp;"; "&amp;$C30&amp;" a riposo compensativo",IF($E30=1,$C30&amp;" assente ("&amp;$D30&amp;")"&amp;IF($S30="DA ASSEGNARE","; nessun sostituto disponibile","; sostituisce "&amp;$S30&amp;" con doppio turno")&amp;IF($F30=1,"; turno da recuperare nella settimana "&amp;($A30+1),"; turno non da recuperare"),""))</f>
        <v/>
      </c>
      <c r="Y30">
        <f>IF($M30=1,"recupera il turno saltato nella settimana "&amp;($A30-1)&amp;", "&amp;$C30&amp;" a riposo",IF($E30=1,IF($S30="DA ASSEGNARE","turno da assegnare: "&amp;$C30&amp;" assente","in sostituzione di "&amp;$C30&amp;", doppio turno"),""))</f>
        <v/>
      </c>
    </row>
    <row r="31">
      <c r="A31" t="n">
        <v>6</v>
      </c>
      <c r="B31" s="43" t="n">
        <v>46328</v>
      </c>
      <c r="C31">
        <f>Partecipanti!$B$5</f>
        <v/>
      </c>
      <c r="D31">
        <f>IF(COUNTIFS(A_PERS,$C31,A_SETT,$A31,A_TIPO,"Licenza - settimana intera")&gt;0,"Licenza - settimana intera",IF(COUNTIFS(A_PERS,$C31,A_SETT,$A31,A_TIPO,"Attività esterna - settimana intera")&gt;0,"Attività esterna - settimana intera",IF(COUNTIFS(A_PERS,$C31,A_DATA,$B31)&gt;0,INDEX(A_TIPO,MATCH(1,INDEX((A_PERS=$C31)*(A_DATA=$B31),0),0)),"")))</f>
        <v/>
      </c>
      <c r="E31">
        <f>IF($D31="",0,1)</f>
        <v/>
      </c>
      <c r="F31">
        <f>IF($E31=0,0,IF(OR($D31="Licenza - settimana intera",$D31="Attività esterna - settimana intera"),0,1))</f>
        <v/>
      </c>
      <c r="G31">
        <f>IF(COUNTIFS(A_PERS,Partecipanti!$B$5,A_DATA,$B31)+COUNTIFS(A_PERS,Partecipanti!$B$5,A_SETT,$A31,A_TIPO,"Licenza - settimana intera")+COUNTIFS(A_PERS,Partecipanti!$B$5,A_SETT,$A31,A_TIPO,"Attività esterna - settimana intera")&gt;0,0,1)</f>
        <v/>
      </c>
      <c r="H31">
        <f>IF(COUNTIFS(A_PERS,Partecipanti!$B$6,A_DATA,$B31)+COUNTIFS(A_PERS,Partecipanti!$B$6,A_SETT,$A31,A_TIPO,"Licenza - settimana intera")+COUNTIFS(A_PERS,Partecipanti!$B$6,A_SETT,$A31,A_TIPO,"Attività esterna - settimana intera")&gt;0,0,1)</f>
        <v/>
      </c>
      <c r="I31">
        <f>IF(COUNTIFS(A_PERS,Partecipanti!$B$7,A_DATA,$B31)+COUNTIFS(A_PERS,Partecipanti!$B$7,A_SETT,$A31,A_TIPO,"Licenza - settimana intera")+COUNTIFS(A_PERS,Partecipanti!$B$7,A_SETT,$A31,A_TIPO,"Attività esterna - settimana intera")&gt;0,0,1)</f>
        <v/>
      </c>
      <c r="J31">
        <f>IF(COUNTIFS(A_PERS,Partecipanti!$B$8,A_DATA,$B31)+COUNTIFS(A_PERS,Partecipanti!$B$8,A_SETT,$A31,A_TIPO,"Licenza - settimana intera")+COUNTIFS(A_PERS,Partecipanti!$B$8,A_SETT,$A31,A_TIPO,"Attività esterna - settimana intera")&gt;0,0,1)</f>
        <v/>
      </c>
      <c r="K31">
        <f>IF(COUNTIFS(A_PERS,Partecipanti!$B$9,A_DATA,$B31)+COUNTIFS(A_PERS,Partecipanti!$B$9,A_SETT,$A31,A_TIPO,"Licenza - settimana intera")+COUNTIFS(A_PERS,Partecipanti!$B$9,A_SETT,$A31,A_TIPO,"Attività esterna - settimana intera")&gt;0,0,1)</f>
        <v/>
      </c>
      <c r="L31">
        <f>IFERROR(INDEX($C26:$C30,MATCH(1,INDEX(($T26:$T30=$C31)*1,0),0)),"")</f>
        <v/>
      </c>
      <c r="M31">
        <f>IF($L31="",0,IF(INDEX($G31:$K31,MATCH($L31,Partecipanti!$B$5:$B$9,0))=1,1,0))</f>
        <v/>
      </c>
      <c r="N31">
        <f>IF($G31=0,100000,IF(Partecipanti!$B$5=$C31,100000,COUNTIF($S$6:$S30,Partecipanti!$B$5)*100+MOD(1-MATCH($C31,Partecipanti!$B$5:$B$9,0)-1,5)))</f>
        <v/>
      </c>
      <c r="O31">
        <f>IF($H31=0,100000,IF(Partecipanti!$B$6=$C31,100000,COUNTIF($S$6:$S30,Partecipanti!$B$6)*100+MOD(2-MATCH($C31,Partecipanti!$B$5:$B$9,0)-1,5)))</f>
        <v/>
      </c>
      <c r="P31">
        <f>IF($I31=0,100000,IF(Partecipanti!$B$7=$C31,100000,COUNTIF($S$6:$S30,Partecipanti!$B$7)*100+MOD(3-MATCH($C31,Partecipanti!$B$5:$B$9,0)-1,5)))</f>
        <v/>
      </c>
      <c r="Q31">
        <f>IF($J31=0,100000,IF(Partecipanti!$B$8=$C31,100000,COUNTIF($S$6:$S30,Partecipanti!$B$8)*100+MOD(4-MATCH($C31,Partecipanti!$B$5:$B$9,0)-1,5)))</f>
        <v/>
      </c>
      <c r="R31">
        <f>IF($K31=0,100000,IF(Partecipanti!$B$9=$C31,100000,COUNTIF($S$6:$S30,Partecipanti!$B$9)*100+MOD(5-MATCH($C31,Partecipanti!$B$5:$B$9,0)-1,5)))</f>
        <v/>
      </c>
      <c r="S31">
        <f>IF(OR($E31=0,$M31=1),"",IF(MIN($N31:$R31)&gt;=100000,"DA ASSEGNARE",INDEX(Partecipanti!$B$5:$B$9,MATCH(MIN($N31:$R31),$N31:$R31,0))))</f>
        <v/>
      </c>
      <c r="T31">
        <f>IF(AND($F31=1,$S31&lt;&gt;"",$S31&lt;&gt;"DA ASSEGNARE"),$S31,"")</f>
        <v/>
      </c>
      <c r="U31">
        <f>IF($M31=1,$L31,IF($E31=0,$C31,$S31))</f>
        <v/>
      </c>
      <c r="V31">
        <f>IF($M31=1,"Recupero",IF($E31=0,"Ordinario",IF($S31="DA ASSEGNARE","DA ASSEGNARE","Sostituzione (doppio turno)")))</f>
        <v/>
      </c>
      <c r="W31">
        <f>IF(OR($M31=1,$E31=1),$C31,"")</f>
        <v/>
      </c>
      <c r="X31">
        <f>IF($M31=1,$L31&amp;" recupera il turno saltato nella settimana "&amp;($A31-1)&amp;"; "&amp;$C31&amp;" a riposo compensativo",IF($E31=1,$C31&amp;" assente ("&amp;$D31&amp;")"&amp;IF($S31="DA ASSEGNARE","; nessun sostituto disponibile","; sostituisce "&amp;$S31&amp;" con doppio turno")&amp;IF($F31=1,"; turno da recuperare nella settimana "&amp;($A31+1),"; turno non da recuperare"),""))</f>
        <v/>
      </c>
      <c r="Y31">
        <f>IF($M31=1,"recupera il turno saltato nella settimana "&amp;($A31-1)&amp;", "&amp;$C31&amp;" a riposo",IF($E31=1,IF($S31="DA ASSEGNARE","turno da assegnare: "&amp;$C31&amp;" assente","in sostituzione di "&amp;$C31&amp;", doppio turno"),""))</f>
        <v/>
      </c>
    </row>
    <row r="32">
      <c r="A32" t="n">
        <v>6</v>
      </c>
      <c r="B32" s="43" t="n">
        <v>46329</v>
      </c>
      <c r="C32">
        <f>Partecipanti!$B$6</f>
        <v/>
      </c>
      <c r="D32">
        <f>IF(COUNTIFS(A_PERS,$C32,A_SETT,$A32,A_TIPO,"Licenza - settimana intera")&gt;0,"Licenza - settimana intera",IF(COUNTIFS(A_PERS,$C32,A_SETT,$A32,A_TIPO,"Attività esterna - settimana intera")&gt;0,"Attività esterna - settimana intera",IF(COUNTIFS(A_PERS,$C32,A_DATA,$B32)&gt;0,INDEX(A_TIPO,MATCH(1,INDEX((A_PERS=$C32)*(A_DATA=$B32),0),0)),"")))</f>
        <v/>
      </c>
      <c r="E32">
        <f>IF($D32="",0,1)</f>
        <v/>
      </c>
      <c r="F32">
        <f>IF($E32=0,0,IF(OR($D32="Licenza - settimana intera",$D32="Attività esterna - settimana intera"),0,1))</f>
        <v/>
      </c>
      <c r="G32">
        <f>IF(COUNTIFS(A_PERS,Partecipanti!$B$5,A_DATA,$B32)+COUNTIFS(A_PERS,Partecipanti!$B$5,A_SETT,$A32,A_TIPO,"Licenza - settimana intera")+COUNTIFS(A_PERS,Partecipanti!$B$5,A_SETT,$A32,A_TIPO,"Attività esterna - settimana intera")&gt;0,0,1)</f>
        <v/>
      </c>
      <c r="H32">
        <f>IF(COUNTIFS(A_PERS,Partecipanti!$B$6,A_DATA,$B32)+COUNTIFS(A_PERS,Partecipanti!$B$6,A_SETT,$A32,A_TIPO,"Licenza - settimana intera")+COUNTIFS(A_PERS,Partecipanti!$B$6,A_SETT,$A32,A_TIPO,"Attività esterna - settimana intera")&gt;0,0,1)</f>
        <v/>
      </c>
      <c r="I32">
        <f>IF(COUNTIFS(A_PERS,Partecipanti!$B$7,A_DATA,$B32)+COUNTIFS(A_PERS,Partecipanti!$B$7,A_SETT,$A32,A_TIPO,"Licenza - settimana intera")+COUNTIFS(A_PERS,Partecipanti!$B$7,A_SETT,$A32,A_TIPO,"Attività esterna - settimana intera")&gt;0,0,1)</f>
        <v/>
      </c>
      <c r="J32">
        <f>IF(COUNTIFS(A_PERS,Partecipanti!$B$8,A_DATA,$B32)+COUNTIFS(A_PERS,Partecipanti!$B$8,A_SETT,$A32,A_TIPO,"Licenza - settimana intera")+COUNTIFS(A_PERS,Partecipanti!$B$8,A_SETT,$A32,A_TIPO,"Attività esterna - settimana intera")&gt;0,0,1)</f>
        <v/>
      </c>
      <c r="K32">
        <f>IF(COUNTIFS(A_PERS,Partecipanti!$B$9,A_DATA,$B32)+COUNTIFS(A_PERS,Partecipanti!$B$9,A_SETT,$A32,A_TIPO,"Licenza - settimana intera")+COUNTIFS(A_PERS,Partecipanti!$B$9,A_SETT,$A32,A_TIPO,"Attività esterna - settimana intera")&gt;0,0,1)</f>
        <v/>
      </c>
      <c r="L32">
        <f>IFERROR(INDEX($C26:$C30,MATCH(1,INDEX(($T26:$T30=$C32)*1,0),0)),"")</f>
        <v/>
      </c>
      <c r="M32">
        <f>IF($L32="",0,IF(INDEX($G32:$K32,MATCH($L32,Partecipanti!$B$5:$B$9,0))=1,1,0))</f>
        <v/>
      </c>
      <c r="N32">
        <f>IF($G32=0,100000,IF(Partecipanti!$B$5=$C32,100000,COUNTIF($S$6:$S31,Partecipanti!$B$5)*100+MOD(1-MATCH($C32,Partecipanti!$B$5:$B$9,0)-1,5)))</f>
        <v/>
      </c>
      <c r="O32">
        <f>IF($H32=0,100000,IF(Partecipanti!$B$6=$C32,100000,COUNTIF($S$6:$S31,Partecipanti!$B$6)*100+MOD(2-MATCH($C32,Partecipanti!$B$5:$B$9,0)-1,5)))</f>
        <v/>
      </c>
      <c r="P32">
        <f>IF($I32=0,100000,IF(Partecipanti!$B$7=$C32,100000,COUNTIF($S$6:$S31,Partecipanti!$B$7)*100+MOD(3-MATCH($C32,Partecipanti!$B$5:$B$9,0)-1,5)))</f>
        <v/>
      </c>
      <c r="Q32">
        <f>IF($J32=0,100000,IF(Partecipanti!$B$8=$C32,100000,COUNTIF($S$6:$S31,Partecipanti!$B$8)*100+MOD(4-MATCH($C32,Partecipanti!$B$5:$B$9,0)-1,5)))</f>
        <v/>
      </c>
      <c r="R32">
        <f>IF($K32=0,100000,IF(Partecipanti!$B$9=$C32,100000,COUNTIF($S$6:$S31,Partecipanti!$B$9)*100+MOD(5-MATCH($C32,Partecipanti!$B$5:$B$9,0)-1,5)))</f>
        <v/>
      </c>
      <c r="S32">
        <f>IF(OR($E32=0,$M32=1),"",IF(MIN($N32:$R32)&gt;=100000,"DA ASSEGNARE",INDEX(Partecipanti!$B$5:$B$9,MATCH(MIN($N32:$R32),$N32:$R32,0))))</f>
        <v/>
      </c>
      <c r="T32">
        <f>IF(AND($F32=1,$S32&lt;&gt;"",$S32&lt;&gt;"DA ASSEGNARE"),$S32,"")</f>
        <v/>
      </c>
      <c r="U32">
        <f>IF($M32=1,$L32,IF($E32=0,$C32,$S32))</f>
        <v/>
      </c>
      <c r="V32">
        <f>IF($M32=1,"Recupero",IF($E32=0,"Ordinario",IF($S32="DA ASSEGNARE","DA ASSEGNARE","Sostituzione (doppio turno)")))</f>
        <v/>
      </c>
      <c r="W32">
        <f>IF(OR($M32=1,$E32=1),$C32,"")</f>
        <v/>
      </c>
      <c r="X32">
        <f>IF($M32=1,$L32&amp;" recupera il turno saltato nella settimana "&amp;($A32-1)&amp;"; "&amp;$C32&amp;" a riposo compensativo",IF($E32=1,$C32&amp;" assente ("&amp;$D32&amp;")"&amp;IF($S32="DA ASSEGNARE","; nessun sostituto disponibile","; sostituisce "&amp;$S32&amp;" con doppio turno")&amp;IF($F32=1,"; turno da recuperare nella settimana "&amp;($A32+1),"; turno non da recuperare"),""))</f>
        <v/>
      </c>
      <c r="Y32">
        <f>IF($M32=1,"recupera il turno saltato nella settimana "&amp;($A32-1)&amp;", "&amp;$C32&amp;" a riposo",IF($E32=1,IF($S32="DA ASSEGNARE","turno da assegnare: "&amp;$C32&amp;" assente","in sostituzione di "&amp;$C32&amp;", doppio turno"),""))</f>
        <v/>
      </c>
    </row>
    <row r="33">
      <c r="A33" t="n">
        <v>6</v>
      </c>
      <c r="B33" s="43" t="n">
        <v>46330</v>
      </c>
      <c r="C33">
        <f>Partecipanti!$B$7</f>
        <v/>
      </c>
      <c r="D33">
        <f>IF(COUNTIFS(A_PERS,$C33,A_SETT,$A33,A_TIPO,"Licenza - settimana intera")&gt;0,"Licenza - settimana intera",IF(COUNTIFS(A_PERS,$C33,A_SETT,$A33,A_TIPO,"Attività esterna - settimana intera")&gt;0,"Attività esterna - settimana intera",IF(COUNTIFS(A_PERS,$C33,A_DATA,$B33)&gt;0,INDEX(A_TIPO,MATCH(1,INDEX((A_PERS=$C33)*(A_DATA=$B33),0),0)),"")))</f>
        <v/>
      </c>
      <c r="E33">
        <f>IF($D33="",0,1)</f>
        <v/>
      </c>
      <c r="F33">
        <f>IF($E33=0,0,IF(OR($D33="Licenza - settimana intera",$D33="Attività esterna - settimana intera"),0,1))</f>
        <v/>
      </c>
      <c r="G33">
        <f>IF(COUNTIFS(A_PERS,Partecipanti!$B$5,A_DATA,$B33)+COUNTIFS(A_PERS,Partecipanti!$B$5,A_SETT,$A33,A_TIPO,"Licenza - settimana intera")+COUNTIFS(A_PERS,Partecipanti!$B$5,A_SETT,$A33,A_TIPO,"Attività esterna - settimana intera")&gt;0,0,1)</f>
        <v/>
      </c>
      <c r="H33">
        <f>IF(COUNTIFS(A_PERS,Partecipanti!$B$6,A_DATA,$B33)+COUNTIFS(A_PERS,Partecipanti!$B$6,A_SETT,$A33,A_TIPO,"Licenza - settimana intera")+COUNTIFS(A_PERS,Partecipanti!$B$6,A_SETT,$A33,A_TIPO,"Attività esterna - settimana intera")&gt;0,0,1)</f>
        <v/>
      </c>
      <c r="I33">
        <f>IF(COUNTIFS(A_PERS,Partecipanti!$B$7,A_DATA,$B33)+COUNTIFS(A_PERS,Partecipanti!$B$7,A_SETT,$A33,A_TIPO,"Licenza - settimana intera")+COUNTIFS(A_PERS,Partecipanti!$B$7,A_SETT,$A33,A_TIPO,"Attività esterna - settimana intera")&gt;0,0,1)</f>
        <v/>
      </c>
      <c r="J33">
        <f>IF(COUNTIFS(A_PERS,Partecipanti!$B$8,A_DATA,$B33)+COUNTIFS(A_PERS,Partecipanti!$B$8,A_SETT,$A33,A_TIPO,"Licenza - settimana intera")+COUNTIFS(A_PERS,Partecipanti!$B$8,A_SETT,$A33,A_TIPO,"Attività esterna - settimana intera")&gt;0,0,1)</f>
        <v/>
      </c>
      <c r="K33">
        <f>IF(COUNTIFS(A_PERS,Partecipanti!$B$9,A_DATA,$B33)+COUNTIFS(A_PERS,Partecipanti!$B$9,A_SETT,$A33,A_TIPO,"Licenza - settimana intera")+COUNTIFS(A_PERS,Partecipanti!$B$9,A_SETT,$A33,A_TIPO,"Attività esterna - settimana intera")&gt;0,0,1)</f>
        <v/>
      </c>
      <c r="L33">
        <f>IFERROR(INDEX($C26:$C30,MATCH(1,INDEX(($T26:$T30=$C33)*1,0),0)),"")</f>
        <v/>
      </c>
      <c r="M33">
        <f>IF($L33="",0,IF(INDEX($G33:$K33,MATCH($L33,Partecipanti!$B$5:$B$9,0))=1,1,0))</f>
        <v/>
      </c>
      <c r="N33">
        <f>IF($G33=0,100000,IF(Partecipanti!$B$5=$C33,100000,COUNTIF($S$6:$S32,Partecipanti!$B$5)*100+MOD(1-MATCH($C33,Partecipanti!$B$5:$B$9,0)-1,5)))</f>
        <v/>
      </c>
      <c r="O33">
        <f>IF($H33=0,100000,IF(Partecipanti!$B$6=$C33,100000,COUNTIF($S$6:$S32,Partecipanti!$B$6)*100+MOD(2-MATCH($C33,Partecipanti!$B$5:$B$9,0)-1,5)))</f>
        <v/>
      </c>
      <c r="P33">
        <f>IF($I33=0,100000,IF(Partecipanti!$B$7=$C33,100000,COUNTIF($S$6:$S32,Partecipanti!$B$7)*100+MOD(3-MATCH($C33,Partecipanti!$B$5:$B$9,0)-1,5)))</f>
        <v/>
      </c>
      <c r="Q33">
        <f>IF($J33=0,100000,IF(Partecipanti!$B$8=$C33,100000,COUNTIF($S$6:$S32,Partecipanti!$B$8)*100+MOD(4-MATCH($C33,Partecipanti!$B$5:$B$9,0)-1,5)))</f>
        <v/>
      </c>
      <c r="R33">
        <f>IF($K33=0,100000,IF(Partecipanti!$B$9=$C33,100000,COUNTIF($S$6:$S32,Partecipanti!$B$9)*100+MOD(5-MATCH($C33,Partecipanti!$B$5:$B$9,0)-1,5)))</f>
        <v/>
      </c>
      <c r="S33">
        <f>IF(OR($E33=0,$M33=1),"",IF(MIN($N33:$R33)&gt;=100000,"DA ASSEGNARE",INDEX(Partecipanti!$B$5:$B$9,MATCH(MIN($N33:$R33),$N33:$R33,0))))</f>
        <v/>
      </c>
      <c r="T33">
        <f>IF(AND($F33=1,$S33&lt;&gt;"",$S33&lt;&gt;"DA ASSEGNARE"),$S33,"")</f>
        <v/>
      </c>
      <c r="U33">
        <f>IF($M33=1,$L33,IF($E33=0,$C33,$S33))</f>
        <v/>
      </c>
      <c r="V33">
        <f>IF($M33=1,"Recupero",IF($E33=0,"Ordinario",IF($S33="DA ASSEGNARE","DA ASSEGNARE","Sostituzione (doppio turno)")))</f>
        <v/>
      </c>
      <c r="W33">
        <f>IF(OR($M33=1,$E33=1),$C33,"")</f>
        <v/>
      </c>
      <c r="X33">
        <f>IF($M33=1,$L33&amp;" recupera il turno saltato nella settimana "&amp;($A33-1)&amp;"; "&amp;$C33&amp;" a riposo compensativo",IF($E33=1,$C33&amp;" assente ("&amp;$D33&amp;")"&amp;IF($S33="DA ASSEGNARE","; nessun sostituto disponibile","; sostituisce "&amp;$S33&amp;" con doppio turno")&amp;IF($F33=1,"; turno da recuperare nella settimana "&amp;($A33+1),"; turno non da recuperare"),""))</f>
        <v/>
      </c>
      <c r="Y33">
        <f>IF($M33=1,"recupera il turno saltato nella settimana "&amp;($A33-1)&amp;", "&amp;$C33&amp;" a riposo",IF($E33=1,IF($S33="DA ASSEGNARE","turno da assegnare: "&amp;$C33&amp;" assente","in sostituzione di "&amp;$C33&amp;", doppio turno"),""))</f>
        <v/>
      </c>
    </row>
    <row r="34">
      <c r="A34" t="n">
        <v>6</v>
      </c>
      <c r="B34" s="43" t="n">
        <v>46331</v>
      </c>
      <c r="C34">
        <f>Partecipanti!$B$8</f>
        <v/>
      </c>
      <c r="D34">
        <f>IF(COUNTIFS(A_PERS,$C34,A_SETT,$A34,A_TIPO,"Licenza - settimana intera")&gt;0,"Licenza - settimana intera",IF(COUNTIFS(A_PERS,$C34,A_SETT,$A34,A_TIPO,"Attività esterna - settimana intera")&gt;0,"Attività esterna - settimana intera",IF(COUNTIFS(A_PERS,$C34,A_DATA,$B34)&gt;0,INDEX(A_TIPO,MATCH(1,INDEX((A_PERS=$C34)*(A_DATA=$B34),0),0)),"")))</f>
        <v/>
      </c>
      <c r="E34">
        <f>IF($D34="",0,1)</f>
        <v/>
      </c>
      <c r="F34">
        <f>IF($E34=0,0,IF(OR($D34="Licenza - settimana intera",$D34="Attività esterna - settimana intera"),0,1))</f>
        <v/>
      </c>
      <c r="G34">
        <f>IF(COUNTIFS(A_PERS,Partecipanti!$B$5,A_DATA,$B34)+COUNTIFS(A_PERS,Partecipanti!$B$5,A_SETT,$A34,A_TIPO,"Licenza - settimana intera")+COUNTIFS(A_PERS,Partecipanti!$B$5,A_SETT,$A34,A_TIPO,"Attività esterna - settimana intera")&gt;0,0,1)</f>
        <v/>
      </c>
      <c r="H34">
        <f>IF(COUNTIFS(A_PERS,Partecipanti!$B$6,A_DATA,$B34)+COUNTIFS(A_PERS,Partecipanti!$B$6,A_SETT,$A34,A_TIPO,"Licenza - settimana intera")+COUNTIFS(A_PERS,Partecipanti!$B$6,A_SETT,$A34,A_TIPO,"Attività esterna - settimana intera")&gt;0,0,1)</f>
        <v/>
      </c>
      <c r="I34">
        <f>IF(COUNTIFS(A_PERS,Partecipanti!$B$7,A_DATA,$B34)+COUNTIFS(A_PERS,Partecipanti!$B$7,A_SETT,$A34,A_TIPO,"Licenza - settimana intera")+COUNTIFS(A_PERS,Partecipanti!$B$7,A_SETT,$A34,A_TIPO,"Attività esterna - settimana intera")&gt;0,0,1)</f>
        <v/>
      </c>
      <c r="J34">
        <f>IF(COUNTIFS(A_PERS,Partecipanti!$B$8,A_DATA,$B34)+COUNTIFS(A_PERS,Partecipanti!$B$8,A_SETT,$A34,A_TIPO,"Licenza - settimana intera")+COUNTIFS(A_PERS,Partecipanti!$B$8,A_SETT,$A34,A_TIPO,"Attività esterna - settimana intera")&gt;0,0,1)</f>
        <v/>
      </c>
      <c r="K34">
        <f>IF(COUNTIFS(A_PERS,Partecipanti!$B$9,A_DATA,$B34)+COUNTIFS(A_PERS,Partecipanti!$B$9,A_SETT,$A34,A_TIPO,"Licenza - settimana intera")+COUNTIFS(A_PERS,Partecipanti!$B$9,A_SETT,$A34,A_TIPO,"Attività esterna - settimana intera")&gt;0,0,1)</f>
        <v/>
      </c>
      <c r="L34">
        <f>IFERROR(INDEX($C26:$C30,MATCH(1,INDEX(($T26:$T30=$C34)*1,0),0)),"")</f>
        <v/>
      </c>
      <c r="M34">
        <f>IF($L34="",0,IF(INDEX($G34:$K34,MATCH($L34,Partecipanti!$B$5:$B$9,0))=1,1,0))</f>
        <v/>
      </c>
      <c r="N34">
        <f>IF($G34=0,100000,IF(Partecipanti!$B$5=$C34,100000,COUNTIF($S$6:$S33,Partecipanti!$B$5)*100+MOD(1-MATCH($C34,Partecipanti!$B$5:$B$9,0)-1,5)))</f>
        <v/>
      </c>
      <c r="O34">
        <f>IF($H34=0,100000,IF(Partecipanti!$B$6=$C34,100000,COUNTIF($S$6:$S33,Partecipanti!$B$6)*100+MOD(2-MATCH($C34,Partecipanti!$B$5:$B$9,0)-1,5)))</f>
        <v/>
      </c>
      <c r="P34">
        <f>IF($I34=0,100000,IF(Partecipanti!$B$7=$C34,100000,COUNTIF($S$6:$S33,Partecipanti!$B$7)*100+MOD(3-MATCH($C34,Partecipanti!$B$5:$B$9,0)-1,5)))</f>
        <v/>
      </c>
      <c r="Q34">
        <f>IF($J34=0,100000,IF(Partecipanti!$B$8=$C34,100000,COUNTIF($S$6:$S33,Partecipanti!$B$8)*100+MOD(4-MATCH($C34,Partecipanti!$B$5:$B$9,0)-1,5)))</f>
        <v/>
      </c>
      <c r="R34">
        <f>IF($K34=0,100000,IF(Partecipanti!$B$9=$C34,100000,COUNTIF($S$6:$S33,Partecipanti!$B$9)*100+MOD(5-MATCH($C34,Partecipanti!$B$5:$B$9,0)-1,5)))</f>
        <v/>
      </c>
      <c r="S34">
        <f>IF(OR($E34=0,$M34=1),"",IF(MIN($N34:$R34)&gt;=100000,"DA ASSEGNARE",INDEX(Partecipanti!$B$5:$B$9,MATCH(MIN($N34:$R34),$N34:$R34,0))))</f>
        <v/>
      </c>
      <c r="T34">
        <f>IF(AND($F34=1,$S34&lt;&gt;"",$S34&lt;&gt;"DA ASSEGNARE"),$S34,"")</f>
        <v/>
      </c>
      <c r="U34">
        <f>IF($M34=1,$L34,IF($E34=0,$C34,$S34))</f>
        <v/>
      </c>
      <c r="V34">
        <f>IF($M34=1,"Recupero",IF($E34=0,"Ordinario",IF($S34="DA ASSEGNARE","DA ASSEGNARE","Sostituzione (doppio turno)")))</f>
        <v/>
      </c>
      <c r="W34">
        <f>IF(OR($M34=1,$E34=1),$C34,"")</f>
        <v/>
      </c>
      <c r="X34">
        <f>IF($M34=1,$L34&amp;" recupera il turno saltato nella settimana "&amp;($A34-1)&amp;"; "&amp;$C34&amp;" a riposo compensativo",IF($E34=1,$C34&amp;" assente ("&amp;$D34&amp;")"&amp;IF($S34="DA ASSEGNARE","; nessun sostituto disponibile","; sostituisce "&amp;$S34&amp;" con doppio turno")&amp;IF($F34=1,"; turno da recuperare nella settimana "&amp;($A34+1),"; turno non da recuperare"),""))</f>
        <v/>
      </c>
      <c r="Y34">
        <f>IF($M34=1,"recupera il turno saltato nella settimana "&amp;($A34-1)&amp;", "&amp;$C34&amp;" a riposo",IF($E34=1,IF($S34="DA ASSEGNARE","turno da assegnare: "&amp;$C34&amp;" assente","in sostituzione di "&amp;$C34&amp;", doppio turno"),""))</f>
        <v/>
      </c>
    </row>
    <row r="35">
      <c r="A35" t="n">
        <v>6</v>
      </c>
      <c r="B35" s="43" t="n">
        <v>46332</v>
      </c>
      <c r="C35">
        <f>Partecipanti!$B$9</f>
        <v/>
      </c>
      <c r="D35">
        <f>IF(COUNTIFS(A_PERS,$C35,A_SETT,$A35,A_TIPO,"Licenza - settimana intera")&gt;0,"Licenza - settimana intera",IF(COUNTIFS(A_PERS,$C35,A_SETT,$A35,A_TIPO,"Attività esterna - settimana intera")&gt;0,"Attività esterna - settimana intera",IF(COUNTIFS(A_PERS,$C35,A_DATA,$B35)&gt;0,INDEX(A_TIPO,MATCH(1,INDEX((A_PERS=$C35)*(A_DATA=$B35),0),0)),"")))</f>
        <v/>
      </c>
      <c r="E35">
        <f>IF($D35="",0,1)</f>
        <v/>
      </c>
      <c r="F35">
        <f>IF($E35=0,0,IF(OR($D35="Licenza - settimana intera",$D35="Attività esterna - settimana intera"),0,1))</f>
        <v/>
      </c>
      <c r="G35">
        <f>IF(COUNTIFS(A_PERS,Partecipanti!$B$5,A_DATA,$B35)+COUNTIFS(A_PERS,Partecipanti!$B$5,A_SETT,$A35,A_TIPO,"Licenza - settimana intera")+COUNTIFS(A_PERS,Partecipanti!$B$5,A_SETT,$A35,A_TIPO,"Attività esterna - settimana intera")&gt;0,0,1)</f>
        <v/>
      </c>
      <c r="H35">
        <f>IF(COUNTIFS(A_PERS,Partecipanti!$B$6,A_DATA,$B35)+COUNTIFS(A_PERS,Partecipanti!$B$6,A_SETT,$A35,A_TIPO,"Licenza - settimana intera")+COUNTIFS(A_PERS,Partecipanti!$B$6,A_SETT,$A35,A_TIPO,"Attività esterna - settimana intera")&gt;0,0,1)</f>
        <v/>
      </c>
      <c r="I35">
        <f>IF(COUNTIFS(A_PERS,Partecipanti!$B$7,A_DATA,$B35)+COUNTIFS(A_PERS,Partecipanti!$B$7,A_SETT,$A35,A_TIPO,"Licenza - settimana intera")+COUNTIFS(A_PERS,Partecipanti!$B$7,A_SETT,$A35,A_TIPO,"Attività esterna - settimana intera")&gt;0,0,1)</f>
        <v/>
      </c>
      <c r="J35">
        <f>IF(COUNTIFS(A_PERS,Partecipanti!$B$8,A_DATA,$B35)+COUNTIFS(A_PERS,Partecipanti!$B$8,A_SETT,$A35,A_TIPO,"Licenza - settimana intera")+COUNTIFS(A_PERS,Partecipanti!$B$8,A_SETT,$A35,A_TIPO,"Attività esterna - settimana intera")&gt;0,0,1)</f>
        <v/>
      </c>
      <c r="K35">
        <f>IF(COUNTIFS(A_PERS,Partecipanti!$B$9,A_DATA,$B35)+COUNTIFS(A_PERS,Partecipanti!$B$9,A_SETT,$A35,A_TIPO,"Licenza - settimana intera")+COUNTIFS(A_PERS,Partecipanti!$B$9,A_SETT,$A35,A_TIPO,"Attività esterna - settimana intera")&gt;0,0,1)</f>
        <v/>
      </c>
      <c r="L35">
        <f>IFERROR(INDEX($C26:$C30,MATCH(1,INDEX(($T26:$T30=$C35)*1,0),0)),"")</f>
        <v/>
      </c>
      <c r="M35">
        <f>IF($L35="",0,IF(INDEX($G35:$K35,MATCH($L35,Partecipanti!$B$5:$B$9,0))=1,1,0))</f>
        <v/>
      </c>
      <c r="N35">
        <f>IF($G35=0,100000,IF(Partecipanti!$B$5=$C35,100000,COUNTIF($S$6:$S34,Partecipanti!$B$5)*100+MOD(1-MATCH($C35,Partecipanti!$B$5:$B$9,0)-1,5)))</f>
        <v/>
      </c>
      <c r="O35">
        <f>IF($H35=0,100000,IF(Partecipanti!$B$6=$C35,100000,COUNTIF($S$6:$S34,Partecipanti!$B$6)*100+MOD(2-MATCH($C35,Partecipanti!$B$5:$B$9,0)-1,5)))</f>
        <v/>
      </c>
      <c r="P35">
        <f>IF($I35=0,100000,IF(Partecipanti!$B$7=$C35,100000,COUNTIF($S$6:$S34,Partecipanti!$B$7)*100+MOD(3-MATCH($C35,Partecipanti!$B$5:$B$9,0)-1,5)))</f>
        <v/>
      </c>
      <c r="Q35">
        <f>IF($J35=0,100000,IF(Partecipanti!$B$8=$C35,100000,COUNTIF($S$6:$S34,Partecipanti!$B$8)*100+MOD(4-MATCH($C35,Partecipanti!$B$5:$B$9,0)-1,5)))</f>
        <v/>
      </c>
      <c r="R35">
        <f>IF($K35=0,100000,IF(Partecipanti!$B$9=$C35,100000,COUNTIF($S$6:$S34,Partecipanti!$B$9)*100+MOD(5-MATCH($C35,Partecipanti!$B$5:$B$9,0)-1,5)))</f>
        <v/>
      </c>
      <c r="S35">
        <f>IF(OR($E35=0,$M35=1),"",IF(MIN($N35:$R35)&gt;=100000,"DA ASSEGNARE",INDEX(Partecipanti!$B$5:$B$9,MATCH(MIN($N35:$R35),$N35:$R35,0))))</f>
        <v/>
      </c>
      <c r="T35">
        <f>IF(AND($F35=1,$S35&lt;&gt;"",$S35&lt;&gt;"DA ASSEGNARE"),$S35,"")</f>
        <v/>
      </c>
      <c r="U35">
        <f>IF($M35=1,$L35,IF($E35=0,$C35,$S35))</f>
        <v/>
      </c>
      <c r="V35">
        <f>IF($M35=1,"Recupero",IF($E35=0,"Ordinario",IF($S35="DA ASSEGNARE","DA ASSEGNARE","Sostituzione (doppio turno)")))</f>
        <v/>
      </c>
      <c r="W35">
        <f>IF(OR($M35=1,$E35=1),$C35,"")</f>
        <v/>
      </c>
      <c r="X35">
        <f>IF($M35=1,$L35&amp;" recupera il turno saltato nella settimana "&amp;($A35-1)&amp;"; "&amp;$C35&amp;" a riposo compensativo",IF($E35=1,$C35&amp;" assente ("&amp;$D35&amp;")"&amp;IF($S35="DA ASSEGNARE","; nessun sostituto disponibile","; sostituisce "&amp;$S35&amp;" con doppio turno")&amp;IF($F35=1,"; turno da recuperare nella settimana "&amp;($A35+1),"; turno non da recuperare"),""))</f>
        <v/>
      </c>
      <c r="Y35">
        <f>IF($M35=1,"recupera il turno saltato nella settimana "&amp;($A35-1)&amp;", "&amp;$C35&amp;" a riposo",IF($E35=1,IF($S35="DA ASSEGNARE","turno da assegnare: "&amp;$C35&amp;" assente","in sostituzione di "&amp;$C35&amp;", doppio turno"),""))</f>
        <v/>
      </c>
    </row>
    <row r="36">
      <c r="A36" t="n">
        <v>7</v>
      </c>
      <c r="B36" s="43" t="n">
        <v>46335</v>
      </c>
      <c r="C36">
        <f>Partecipanti!$B$5</f>
        <v/>
      </c>
      <c r="D36">
        <f>IF(COUNTIFS(A_PERS,$C36,A_SETT,$A36,A_TIPO,"Licenza - settimana intera")&gt;0,"Licenza - settimana intera",IF(COUNTIFS(A_PERS,$C36,A_SETT,$A36,A_TIPO,"Attività esterna - settimana intera")&gt;0,"Attività esterna - settimana intera",IF(COUNTIFS(A_PERS,$C36,A_DATA,$B36)&gt;0,INDEX(A_TIPO,MATCH(1,INDEX((A_PERS=$C36)*(A_DATA=$B36),0),0)),"")))</f>
        <v/>
      </c>
      <c r="E36">
        <f>IF($D36="",0,1)</f>
        <v/>
      </c>
      <c r="F36">
        <f>IF($E36=0,0,IF(OR($D36="Licenza - settimana intera",$D36="Attività esterna - settimana intera"),0,1))</f>
        <v/>
      </c>
      <c r="G36">
        <f>IF(COUNTIFS(A_PERS,Partecipanti!$B$5,A_DATA,$B36)+COUNTIFS(A_PERS,Partecipanti!$B$5,A_SETT,$A36,A_TIPO,"Licenza - settimana intera")+COUNTIFS(A_PERS,Partecipanti!$B$5,A_SETT,$A36,A_TIPO,"Attività esterna - settimana intera")&gt;0,0,1)</f>
        <v/>
      </c>
      <c r="H36">
        <f>IF(COUNTIFS(A_PERS,Partecipanti!$B$6,A_DATA,$B36)+COUNTIFS(A_PERS,Partecipanti!$B$6,A_SETT,$A36,A_TIPO,"Licenza - settimana intera")+COUNTIFS(A_PERS,Partecipanti!$B$6,A_SETT,$A36,A_TIPO,"Attività esterna - settimana intera")&gt;0,0,1)</f>
        <v/>
      </c>
      <c r="I36">
        <f>IF(COUNTIFS(A_PERS,Partecipanti!$B$7,A_DATA,$B36)+COUNTIFS(A_PERS,Partecipanti!$B$7,A_SETT,$A36,A_TIPO,"Licenza - settimana intera")+COUNTIFS(A_PERS,Partecipanti!$B$7,A_SETT,$A36,A_TIPO,"Attività esterna - settimana intera")&gt;0,0,1)</f>
        <v/>
      </c>
      <c r="J36">
        <f>IF(COUNTIFS(A_PERS,Partecipanti!$B$8,A_DATA,$B36)+COUNTIFS(A_PERS,Partecipanti!$B$8,A_SETT,$A36,A_TIPO,"Licenza - settimana intera")+COUNTIFS(A_PERS,Partecipanti!$B$8,A_SETT,$A36,A_TIPO,"Attività esterna - settimana intera")&gt;0,0,1)</f>
        <v/>
      </c>
      <c r="K36">
        <f>IF(COUNTIFS(A_PERS,Partecipanti!$B$9,A_DATA,$B36)+COUNTIFS(A_PERS,Partecipanti!$B$9,A_SETT,$A36,A_TIPO,"Licenza - settimana intera")+COUNTIFS(A_PERS,Partecipanti!$B$9,A_SETT,$A36,A_TIPO,"Attività esterna - settimana intera")&gt;0,0,1)</f>
        <v/>
      </c>
      <c r="L36">
        <f>IFERROR(INDEX($C31:$C35,MATCH(1,INDEX(($T31:$T35=$C36)*1,0),0)),"")</f>
        <v/>
      </c>
      <c r="M36">
        <f>IF($L36="",0,IF(INDEX($G36:$K36,MATCH($L36,Partecipanti!$B$5:$B$9,0))=1,1,0))</f>
        <v/>
      </c>
      <c r="N36">
        <f>IF($G36=0,100000,IF(Partecipanti!$B$5=$C36,100000,COUNTIF($S$6:$S35,Partecipanti!$B$5)*100+MOD(1-MATCH($C36,Partecipanti!$B$5:$B$9,0)-1,5)))</f>
        <v/>
      </c>
      <c r="O36">
        <f>IF($H36=0,100000,IF(Partecipanti!$B$6=$C36,100000,COUNTIF($S$6:$S35,Partecipanti!$B$6)*100+MOD(2-MATCH($C36,Partecipanti!$B$5:$B$9,0)-1,5)))</f>
        <v/>
      </c>
      <c r="P36">
        <f>IF($I36=0,100000,IF(Partecipanti!$B$7=$C36,100000,COUNTIF($S$6:$S35,Partecipanti!$B$7)*100+MOD(3-MATCH($C36,Partecipanti!$B$5:$B$9,0)-1,5)))</f>
        <v/>
      </c>
      <c r="Q36">
        <f>IF($J36=0,100000,IF(Partecipanti!$B$8=$C36,100000,COUNTIF($S$6:$S35,Partecipanti!$B$8)*100+MOD(4-MATCH($C36,Partecipanti!$B$5:$B$9,0)-1,5)))</f>
        <v/>
      </c>
      <c r="R36">
        <f>IF($K36=0,100000,IF(Partecipanti!$B$9=$C36,100000,COUNTIF($S$6:$S35,Partecipanti!$B$9)*100+MOD(5-MATCH($C36,Partecipanti!$B$5:$B$9,0)-1,5)))</f>
        <v/>
      </c>
      <c r="S36">
        <f>IF(OR($E36=0,$M36=1),"",IF(MIN($N36:$R36)&gt;=100000,"DA ASSEGNARE",INDEX(Partecipanti!$B$5:$B$9,MATCH(MIN($N36:$R36),$N36:$R36,0))))</f>
        <v/>
      </c>
      <c r="T36">
        <f>IF(AND($F36=1,$S36&lt;&gt;"",$S36&lt;&gt;"DA ASSEGNARE"),$S36,"")</f>
        <v/>
      </c>
      <c r="U36">
        <f>IF($M36=1,$L36,IF($E36=0,$C36,$S36))</f>
        <v/>
      </c>
      <c r="V36">
        <f>IF($M36=1,"Recupero",IF($E36=0,"Ordinario",IF($S36="DA ASSEGNARE","DA ASSEGNARE","Sostituzione (doppio turno)")))</f>
        <v/>
      </c>
      <c r="W36">
        <f>IF(OR($M36=1,$E36=1),$C36,"")</f>
        <v/>
      </c>
      <c r="X36">
        <f>IF($M36=1,$L36&amp;" recupera il turno saltato nella settimana "&amp;($A36-1)&amp;"; "&amp;$C36&amp;" a riposo compensativo",IF($E36=1,$C36&amp;" assente ("&amp;$D36&amp;")"&amp;IF($S36="DA ASSEGNARE","; nessun sostituto disponibile","; sostituisce "&amp;$S36&amp;" con doppio turno")&amp;IF($F36=1,"; turno da recuperare nella settimana "&amp;($A36+1),"; turno non da recuperare"),""))</f>
        <v/>
      </c>
      <c r="Y36">
        <f>IF($M36=1,"recupera il turno saltato nella settimana "&amp;($A36-1)&amp;", "&amp;$C36&amp;" a riposo",IF($E36=1,IF($S36="DA ASSEGNARE","turno da assegnare: "&amp;$C36&amp;" assente","in sostituzione di "&amp;$C36&amp;", doppio turno"),""))</f>
        <v/>
      </c>
    </row>
    <row r="37">
      <c r="A37" t="n">
        <v>7</v>
      </c>
      <c r="B37" s="43" t="n">
        <v>46336</v>
      </c>
      <c r="C37">
        <f>Partecipanti!$B$6</f>
        <v/>
      </c>
      <c r="D37">
        <f>IF(COUNTIFS(A_PERS,$C37,A_SETT,$A37,A_TIPO,"Licenza - settimana intera")&gt;0,"Licenza - settimana intera",IF(COUNTIFS(A_PERS,$C37,A_SETT,$A37,A_TIPO,"Attività esterna - settimana intera")&gt;0,"Attività esterna - settimana intera",IF(COUNTIFS(A_PERS,$C37,A_DATA,$B37)&gt;0,INDEX(A_TIPO,MATCH(1,INDEX((A_PERS=$C37)*(A_DATA=$B37),0),0)),"")))</f>
        <v/>
      </c>
      <c r="E37">
        <f>IF($D37="",0,1)</f>
        <v/>
      </c>
      <c r="F37">
        <f>IF($E37=0,0,IF(OR($D37="Licenza - settimana intera",$D37="Attività esterna - settimana intera"),0,1))</f>
        <v/>
      </c>
      <c r="G37">
        <f>IF(COUNTIFS(A_PERS,Partecipanti!$B$5,A_DATA,$B37)+COUNTIFS(A_PERS,Partecipanti!$B$5,A_SETT,$A37,A_TIPO,"Licenza - settimana intera")+COUNTIFS(A_PERS,Partecipanti!$B$5,A_SETT,$A37,A_TIPO,"Attività esterna - settimana intera")&gt;0,0,1)</f>
        <v/>
      </c>
      <c r="H37">
        <f>IF(COUNTIFS(A_PERS,Partecipanti!$B$6,A_DATA,$B37)+COUNTIFS(A_PERS,Partecipanti!$B$6,A_SETT,$A37,A_TIPO,"Licenza - settimana intera")+COUNTIFS(A_PERS,Partecipanti!$B$6,A_SETT,$A37,A_TIPO,"Attività esterna - settimana intera")&gt;0,0,1)</f>
        <v/>
      </c>
      <c r="I37">
        <f>IF(COUNTIFS(A_PERS,Partecipanti!$B$7,A_DATA,$B37)+COUNTIFS(A_PERS,Partecipanti!$B$7,A_SETT,$A37,A_TIPO,"Licenza - settimana intera")+COUNTIFS(A_PERS,Partecipanti!$B$7,A_SETT,$A37,A_TIPO,"Attività esterna - settimana intera")&gt;0,0,1)</f>
        <v/>
      </c>
      <c r="J37">
        <f>IF(COUNTIFS(A_PERS,Partecipanti!$B$8,A_DATA,$B37)+COUNTIFS(A_PERS,Partecipanti!$B$8,A_SETT,$A37,A_TIPO,"Licenza - settimana intera")+COUNTIFS(A_PERS,Partecipanti!$B$8,A_SETT,$A37,A_TIPO,"Attività esterna - settimana intera")&gt;0,0,1)</f>
        <v/>
      </c>
      <c r="K37">
        <f>IF(COUNTIFS(A_PERS,Partecipanti!$B$9,A_DATA,$B37)+COUNTIFS(A_PERS,Partecipanti!$B$9,A_SETT,$A37,A_TIPO,"Licenza - settimana intera")+COUNTIFS(A_PERS,Partecipanti!$B$9,A_SETT,$A37,A_TIPO,"Attività esterna - settimana intera")&gt;0,0,1)</f>
        <v/>
      </c>
      <c r="L37">
        <f>IFERROR(INDEX($C31:$C35,MATCH(1,INDEX(($T31:$T35=$C37)*1,0),0)),"")</f>
        <v/>
      </c>
      <c r="M37">
        <f>IF($L37="",0,IF(INDEX($G37:$K37,MATCH($L37,Partecipanti!$B$5:$B$9,0))=1,1,0))</f>
        <v/>
      </c>
      <c r="N37">
        <f>IF($G37=0,100000,IF(Partecipanti!$B$5=$C37,100000,COUNTIF($S$6:$S36,Partecipanti!$B$5)*100+MOD(1-MATCH($C37,Partecipanti!$B$5:$B$9,0)-1,5)))</f>
        <v/>
      </c>
      <c r="O37">
        <f>IF($H37=0,100000,IF(Partecipanti!$B$6=$C37,100000,COUNTIF($S$6:$S36,Partecipanti!$B$6)*100+MOD(2-MATCH($C37,Partecipanti!$B$5:$B$9,0)-1,5)))</f>
        <v/>
      </c>
      <c r="P37">
        <f>IF($I37=0,100000,IF(Partecipanti!$B$7=$C37,100000,COUNTIF($S$6:$S36,Partecipanti!$B$7)*100+MOD(3-MATCH($C37,Partecipanti!$B$5:$B$9,0)-1,5)))</f>
        <v/>
      </c>
      <c r="Q37">
        <f>IF($J37=0,100000,IF(Partecipanti!$B$8=$C37,100000,COUNTIF($S$6:$S36,Partecipanti!$B$8)*100+MOD(4-MATCH($C37,Partecipanti!$B$5:$B$9,0)-1,5)))</f>
        <v/>
      </c>
      <c r="R37">
        <f>IF($K37=0,100000,IF(Partecipanti!$B$9=$C37,100000,COUNTIF($S$6:$S36,Partecipanti!$B$9)*100+MOD(5-MATCH($C37,Partecipanti!$B$5:$B$9,0)-1,5)))</f>
        <v/>
      </c>
      <c r="S37">
        <f>IF(OR($E37=0,$M37=1),"",IF(MIN($N37:$R37)&gt;=100000,"DA ASSEGNARE",INDEX(Partecipanti!$B$5:$B$9,MATCH(MIN($N37:$R37),$N37:$R37,0))))</f>
        <v/>
      </c>
      <c r="T37">
        <f>IF(AND($F37=1,$S37&lt;&gt;"",$S37&lt;&gt;"DA ASSEGNARE"),$S37,"")</f>
        <v/>
      </c>
      <c r="U37">
        <f>IF($M37=1,$L37,IF($E37=0,$C37,$S37))</f>
        <v/>
      </c>
      <c r="V37">
        <f>IF($M37=1,"Recupero",IF($E37=0,"Ordinario",IF($S37="DA ASSEGNARE","DA ASSEGNARE","Sostituzione (doppio turno)")))</f>
        <v/>
      </c>
      <c r="W37">
        <f>IF(OR($M37=1,$E37=1),$C37,"")</f>
        <v/>
      </c>
      <c r="X37">
        <f>IF($M37=1,$L37&amp;" recupera il turno saltato nella settimana "&amp;($A37-1)&amp;"; "&amp;$C37&amp;" a riposo compensativo",IF($E37=1,$C37&amp;" assente ("&amp;$D37&amp;")"&amp;IF($S37="DA ASSEGNARE","; nessun sostituto disponibile","; sostituisce "&amp;$S37&amp;" con doppio turno")&amp;IF($F37=1,"; turno da recuperare nella settimana "&amp;($A37+1),"; turno non da recuperare"),""))</f>
        <v/>
      </c>
      <c r="Y37">
        <f>IF($M37=1,"recupera il turno saltato nella settimana "&amp;($A37-1)&amp;", "&amp;$C37&amp;" a riposo",IF($E37=1,IF($S37="DA ASSEGNARE","turno da assegnare: "&amp;$C37&amp;" assente","in sostituzione di "&amp;$C37&amp;", doppio turno"),""))</f>
        <v/>
      </c>
    </row>
    <row r="38">
      <c r="A38" t="n">
        <v>7</v>
      </c>
      <c r="B38" s="43" t="n">
        <v>46337</v>
      </c>
      <c r="C38">
        <f>Partecipanti!$B$7</f>
        <v/>
      </c>
      <c r="D38">
        <f>IF(COUNTIFS(A_PERS,$C38,A_SETT,$A38,A_TIPO,"Licenza - settimana intera")&gt;0,"Licenza - settimana intera",IF(COUNTIFS(A_PERS,$C38,A_SETT,$A38,A_TIPO,"Attività esterna - settimana intera")&gt;0,"Attività esterna - settimana intera",IF(COUNTIFS(A_PERS,$C38,A_DATA,$B38)&gt;0,INDEX(A_TIPO,MATCH(1,INDEX((A_PERS=$C38)*(A_DATA=$B38),0),0)),"")))</f>
        <v/>
      </c>
      <c r="E38">
        <f>IF($D38="",0,1)</f>
        <v/>
      </c>
      <c r="F38">
        <f>IF($E38=0,0,IF(OR($D38="Licenza - settimana intera",$D38="Attività esterna - settimana intera"),0,1))</f>
        <v/>
      </c>
      <c r="G38">
        <f>IF(COUNTIFS(A_PERS,Partecipanti!$B$5,A_DATA,$B38)+COUNTIFS(A_PERS,Partecipanti!$B$5,A_SETT,$A38,A_TIPO,"Licenza - settimana intera")+COUNTIFS(A_PERS,Partecipanti!$B$5,A_SETT,$A38,A_TIPO,"Attività esterna - settimana intera")&gt;0,0,1)</f>
        <v/>
      </c>
      <c r="H38">
        <f>IF(COUNTIFS(A_PERS,Partecipanti!$B$6,A_DATA,$B38)+COUNTIFS(A_PERS,Partecipanti!$B$6,A_SETT,$A38,A_TIPO,"Licenza - settimana intera")+COUNTIFS(A_PERS,Partecipanti!$B$6,A_SETT,$A38,A_TIPO,"Attività esterna - settimana intera")&gt;0,0,1)</f>
        <v/>
      </c>
      <c r="I38">
        <f>IF(COUNTIFS(A_PERS,Partecipanti!$B$7,A_DATA,$B38)+COUNTIFS(A_PERS,Partecipanti!$B$7,A_SETT,$A38,A_TIPO,"Licenza - settimana intera")+COUNTIFS(A_PERS,Partecipanti!$B$7,A_SETT,$A38,A_TIPO,"Attività esterna - settimana intera")&gt;0,0,1)</f>
        <v/>
      </c>
      <c r="J38">
        <f>IF(COUNTIFS(A_PERS,Partecipanti!$B$8,A_DATA,$B38)+COUNTIFS(A_PERS,Partecipanti!$B$8,A_SETT,$A38,A_TIPO,"Licenza - settimana intera")+COUNTIFS(A_PERS,Partecipanti!$B$8,A_SETT,$A38,A_TIPO,"Attività esterna - settimana intera")&gt;0,0,1)</f>
        <v/>
      </c>
      <c r="K38">
        <f>IF(COUNTIFS(A_PERS,Partecipanti!$B$9,A_DATA,$B38)+COUNTIFS(A_PERS,Partecipanti!$B$9,A_SETT,$A38,A_TIPO,"Licenza - settimana intera")+COUNTIFS(A_PERS,Partecipanti!$B$9,A_SETT,$A38,A_TIPO,"Attività esterna - settimana intera")&gt;0,0,1)</f>
        <v/>
      </c>
      <c r="L38">
        <f>IFERROR(INDEX($C31:$C35,MATCH(1,INDEX(($T31:$T35=$C38)*1,0),0)),"")</f>
        <v/>
      </c>
      <c r="M38">
        <f>IF($L38="",0,IF(INDEX($G38:$K38,MATCH($L38,Partecipanti!$B$5:$B$9,0))=1,1,0))</f>
        <v/>
      </c>
      <c r="N38">
        <f>IF($G38=0,100000,IF(Partecipanti!$B$5=$C38,100000,COUNTIF($S$6:$S37,Partecipanti!$B$5)*100+MOD(1-MATCH($C38,Partecipanti!$B$5:$B$9,0)-1,5)))</f>
        <v/>
      </c>
      <c r="O38">
        <f>IF($H38=0,100000,IF(Partecipanti!$B$6=$C38,100000,COUNTIF($S$6:$S37,Partecipanti!$B$6)*100+MOD(2-MATCH($C38,Partecipanti!$B$5:$B$9,0)-1,5)))</f>
        <v/>
      </c>
      <c r="P38">
        <f>IF($I38=0,100000,IF(Partecipanti!$B$7=$C38,100000,COUNTIF($S$6:$S37,Partecipanti!$B$7)*100+MOD(3-MATCH($C38,Partecipanti!$B$5:$B$9,0)-1,5)))</f>
        <v/>
      </c>
      <c r="Q38">
        <f>IF($J38=0,100000,IF(Partecipanti!$B$8=$C38,100000,COUNTIF($S$6:$S37,Partecipanti!$B$8)*100+MOD(4-MATCH($C38,Partecipanti!$B$5:$B$9,0)-1,5)))</f>
        <v/>
      </c>
      <c r="R38">
        <f>IF($K38=0,100000,IF(Partecipanti!$B$9=$C38,100000,COUNTIF($S$6:$S37,Partecipanti!$B$9)*100+MOD(5-MATCH($C38,Partecipanti!$B$5:$B$9,0)-1,5)))</f>
        <v/>
      </c>
      <c r="S38">
        <f>IF(OR($E38=0,$M38=1),"",IF(MIN($N38:$R38)&gt;=100000,"DA ASSEGNARE",INDEX(Partecipanti!$B$5:$B$9,MATCH(MIN($N38:$R38),$N38:$R38,0))))</f>
        <v/>
      </c>
      <c r="T38">
        <f>IF(AND($F38=1,$S38&lt;&gt;"",$S38&lt;&gt;"DA ASSEGNARE"),$S38,"")</f>
        <v/>
      </c>
      <c r="U38">
        <f>IF($M38=1,$L38,IF($E38=0,$C38,$S38))</f>
        <v/>
      </c>
      <c r="V38">
        <f>IF($M38=1,"Recupero",IF($E38=0,"Ordinario",IF($S38="DA ASSEGNARE","DA ASSEGNARE","Sostituzione (doppio turno)")))</f>
        <v/>
      </c>
      <c r="W38">
        <f>IF(OR($M38=1,$E38=1),$C38,"")</f>
        <v/>
      </c>
      <c r="X38">
        <f>IF($M38=1,$L38&amp;" recupera il turno saltato nella settimana "&amp;($A38-1)&amp;"; "&amp;$C38&amp;" a riposo compensativo",IF($E38=1,$C38&amp;" assente ("&amp;$D38&amp;")"&amp;IF($S38="DA ASSEGNARE","; nessun sostituto disponibile","; sostituisce "&amp;$S38&amp;" con doppio turno")&amp;IF($F38=1,"; turno da recuperare nella settimana "&amp;($A38+1),"; turno non da recuperare"),""))</f>
        <v/>
      </c>
      <c r="Y38">
        <f>IF($M38=1,"recupera il turno saltato nella settimana "&amp;($A38-1)&amp;", "&amp;$C38&amp;" a riposo",IF($E38=1,IF($S38="DA ASSEGNARE","turno da assegnare: "&amp;$C38&amp;" assente","in sostituzione di "&amp;$C38&amp;", doppio turno"),""))</f>
        <v/>
      </c>
    </row>
    <row r="39">
      <c r="A39" t="n">
        <v>7</v>
      </c>
      <c r="B39" s="43" t="n">
        <v>46338</v>
      </c>
      <c r="C39">
        <f>Partecipanti!$B$8</f>
        <v/>
      </c>
      <c r="D39">
        <f>IF(COUNTIFS(A_PERS,$C39,A_SETT,$A39,A_TIPO,"Licenza - settimana intera")&gt;0,"Licenza - settimana intera",IF(COUNTIFS(A_PERS,$C39,A_SETT,$A39,A_TIPO,"Attività esterna - settimana intera")&gt;0,"Attività esterna - settimana intera",IF(COUNTIFS(A_PERS,$C39,A_DATA,$B39)&gt;0,INDEX(A_TIPO,MATCH(1,INDEX((A_PERS=$C39)*(A_DATA=$B39),0),0)),"")))</f>
        <v/>
      </c>
      <c r="E39">
        <f>IF($D39="",0,1)</f>
        <v/>
      </c>
      <c r="F39">
        <f>IF($E39=0,0,IF(OR($D39="Licenza - settimana intera",$D39="Attività esterna - settimana intera"),0,1))</f>
        <v/>
      </c>
      <c r="G39">
        <f>IF(COUNTIFS(A_PERS,Partecipanti!$B$5,A_DATA,$B39)+COUNTIFS(A_PERS,Partecipanti!$B$5,A_SETT,$A39,A_TIPO,"Licenza - settimana intera")+COUNTIFS(A_PERS,Partecipanti!$B$5,A_SETT,$A39,A_TIPO,"Attività esterna - settimana intera")&gt;0,0,1)</f>
        <v/>
      </c>
      <c r="H39">
        <f>IF(COUNTIFS(A_PERS,Partecipanti!$B$6,A_DATA,$B39)+COUNTIFS(A_PERS,Partecipanti!$B$6,A_SETT,$A39,A_TIPO,"Licenza - settimana intera")+COUNTIFS(A_PERS,Partecipanti!$B$6,A_SETT,$A39,A_TIPO,"Attività esterna - settimana intera")&gt;0,0,1)</f>
        <v/>
      </c>
      <c r="I39">
        <f>IF(COUNTIFS(A_PERS,Partecipanti!$B$7,A_DATA,$B39)+COUNTIFS(A_PERS,Partecipanti!$B$7,A_SETT,$A39,A_TIPO,"Licenza - settimana intera")+COUNTIFS(A_PERS,Partecipanti!$B$7,A_SETT,$A39,A_TIPO,"Attività esterna - settimana intera")&gt;0,0,1)</f>
        <v/>
      </c>
      <c r="J39">
        <f>IF(COUNTIFS(A_PERS,Partecipanti!$B$8,A_DATA,$B39)+COUNTIFS(A_PERS,Partecipanti!$B$8,A_SETT,$A39,A_TIPO,"Licenza - settimana intera")+COUNTIFS(A_PERS,Partecipanti!$B$8,A_SETT,$A39,A_TIPO,"Attività esterna - settimana intera")&gt;0,0,1)</f>
        <v/>
      </c>
      <c r="K39">
        <f>IF(COUNTIFS(A_PERS,Partecipanti!$B$9,A_DATA,$B39)+COUNTIFS(A_PERS,Partecipanti!$B$9,A_SETT,$A39,A_TIPO,"Licenza - settimana intera")+COUNTIFS(A_PERS,Partecipanti!$B$9,A_SETT,$A39,A_TIPO,"Attività esterna - settimana intera")&gt;0,0,1)</f>
        <v/>
      </c>
      <c r="L39">
        <f>IFERROR(INDEX($C31:$C35,MATCH(1,INDEX(($T31:$T35=$C39)*1,0),0)),"")</f>
        <v/>
      </c>
      <c r="M39">
        <f>IF($L39="",0,IF(INDEX($G39:$K39,MATCH($L39,Partecipanti!$B$5:$B$9,0))=1,1,0))</f>
        <v/>
      </c>
      <c r="N39">
        <f>IF($G39=0,100000,IF(Partecipanti!$B$5=$C39,100000,COUNTIF($S$6:$S38,Partecipanti!$B$5)*100+MOD(1-MATCH($C39,Partecipanti!$B$5:$B$9,0)-1,5)))</f>
        <v/>
      </c>
      <c r="O39">
        <f>IF($H39=0,100000,IF(Partecipanti!$B$6=$C39,100000,COUNTIF($S$6:$S38,Partecipanti!$B$6)*100+MOD(2-MATCH($C39,Partecipanti!$B$5:$B$9,0)-1,5)))</f>
        <v/>
      </c>
      <c r="P39">
        <f>IF($I39=0,100000,IF(Partecipanti!$B$7=$C39,100000,COUNTIF($S$6:$S38,Partecipanti!$B$7)*100+MOD(3-MATCH($C39,Partecipanti!$B$5:$B$9,0)-1,5)))</f>
        <v/>
      </c>
      <c r="Q39">
        <f>IF($J39=0,100000,IF(Partecipanti!$B$8=$C39,100000,COUNTIF($S$6:$S38,Partecipanti!$B$8)*100+MOD(4-MATCH($C39,Partecipanti!$B$5:$B$9,0)-1,5)))</f>
        <v/>
      </c>
      <c r="R39">
        <f>IF($K39=0,100000,IF(Partecipanti!$B$9=$C39,100000,COUNTIF($S$6:$S38,Partecipanti!$B$9)*100+MOD(5-MATCH($C39,Partecipanti!$B$5:$B$9,0)-1,5)))</f>
        <v/>
      </c>
      <c r="S39">
        <f>IF(OR($E39=0,$M39=1),"",IF(MIN($N39:$R39)&gt;=100000,"DA ASSEGNARE",INDEX(Partecipanti!$B$5:$B$9,MATCH(MIN($N39:$R39),$N39:$R39,0))))</f>
        <v/>
      </c>
      <c r="T39">
        <f>IF(AND($F39=1,$S39&lt;&gt;"",$S39&lt;&gt;"DA ASSEGNARE"),$S39,"")</f>
        <v/>
      </c>
      <c r="U39">
        <f>IF($M39=1,$L39,IF($E39=0,$C39,$S39))</f>
        <v/>
      </c>
      <c r="V39">
        <f>IF($M39=1,"Recupero",IF($E39=0,"Ordinario",IF($S39="DA ASSEGNARE","DA ASSEGNARE","Sostituzione (doppio turno)")))</f>
        <v/>
      </c>
      <c r="W39">
        <f>IF(OR($M39=1,$E39=1),$C39,"")</f>
        <v/>
      </c>
      <c r="X39">
        <f>IF($M39=1,$L39&amp;" recupera il turno saltato nella settimana "&amp;($A39-1)&amp;"; "&amp;$C39&amp;" a riposo compensativo",IF($E39=1,$C39&amp;" assente ("&amp;$D39&amp;")"&amp;IF($S39="DA ASSEGNARE","; nessun sostituto disponibile","; sostituisce "&amp;$S39&amp;" con doppio turno")&amp;IF($F39=1,"; turno da recuperare nella settimana "&amp;($A39+1),"; turno non da recuperare"),""))</f>
        <v/>
      </c>
      <c r="Y39">
        <f>IF($M39=1,"recupera il turno saltato nella settimana "&amp;($A39-1)&amp;", "&amp;$C39&amp;" a riposo",IF($E39=1,IF($S39="DA ASSEGNARE","turno da assegnare: "&amp;$C39&amp;" assente","in sostituzione di "&amp;$C39&amp;", doppio turno"),""))</f>
        <v/>
      </c>
    </row>
    <row r="40">
      <c r="A40" t="n">
        <v>7</v>
      </c>
      <c r="B40" s="43" t="n">
        <v>46339</v>
      </c>
      <c r="C40">
        <f>Partecipanti!$B$9</f>
        <v/>
      </c>
      <c r="D40">
        <f>IF(COUNTIFS(A_PERS,$C40,A_SETT,$A40,A_TIPO,"Licenza - settimana intera")&gt;0,"Licenza - settimana intera",IF(COUNTIFS(A_PERS,$C40,A_SETT,$A40,A_TIPO,"Attività esterna - settimana intera")&gt;0,"Attività esterna - settimana intera",IF(COUNTIFS(A_PERS,$C40,A_DATA,$B40)&gt;0,INDEX(A_TIPO,MATCH(1,INDEX((A_PERS=$C40)*(A_DATA=$B40),0),0)),"")))</f>
        <v/>
      </c>
      <c r="E40">
        <f>IF($D40="",0,1)</f>
        <v/>
      </c>
      <c r="F40">
        <f>IF($E40=0,0,IF(OR($D40="Licenza - settimana intera",$D40="Attività esterna - settimana intera"),0,1))</f>
        <v/>
      </c>
      <c r="G40">
        <f>IF(COUNTIFS(A_PERS,Partecipanti!$B$5,A_DATA,$B40)+COUNTIFS(A_PERS,Partecipanti!$B$5,A_SETT,$A40,A_TIPO,"Licenza - settimana intera")+COUNTIFS(A_PERS,Partecipanti!$B$5,A_SETT,$A40,A_TIPO,"Attività esterna - settimana intera")&gt;0,0,1)</f>
        <v/>
      </c>
      <c r="H40">
        <f>IF(COUNTIFS(A_PERS,Partecipanti!$B$6,A_DATA,$B40)+COUNTIFS(A_PERS,Partecipanti!$B$6,A_SETT,$A40,A_TIPO,"Licenza - settimana intera")+COUNTIFS(A_PERS,Partecipanti!$B$6,A_SETT,$A40,A_TIPO,"Attività esterna - settimana intera")&gt;0,0,1)</f>
        <v/>
      </c>
      <c r="I40">
        <f>IF(COUNTIFS(A_PERS,Partecipanti!$B$7,A_DATA,$B40)+COUNTIFS(A_PERS,Partecipanti!$B$7,A_SETT,$A40,A_TIPO,"Licenza - settimana intera")+COUNTIFS(A_PERS,Partecipanti!$B$7,A_SETT,$A40,A_TIPO,"Attività esterna - settimana intera")&gt;0,0,1)</f>
        <v/>
      </c>
      <c r="J40">
        <f>IF(COUNTIFS(A_PERS,Partecipanti!$B$8,A_DATA,$B40)+COUNTIFS(A_PERS,Partecipanti!$B$8,A_SETT,$A40,A_TIPO,"Licenza - settimana intera")+COUNTIFS(A_PERS,Partecipanti!$B$8,A_SETT,$A40,A_TIPO,"Attività esterna - settimana intera")&gt;0,0,1)</f>
        <v/>
      </c>
      <c r="K40">
        <f>IF(COUNTIFS(A_PERS,Partecipanti!$B$9,A_DATA,$B40)+COUNTIFS(A_PERS,Partecipanti!$B$9,A_SETT,$A40,A_TIPO,"Licenza - settimana intera")+COUNTIFS(A_PERS,Partecipanti!$B$9,A_SETT,$A40,A_TIPO,"Attività esterna - settimana intera")&gt;0,0,1)</f>
        <v/>
      </c>
      <c r="L40">
        <f>IFERROR(INDEX($C31:$C35,MATCH(1,INDEX(($T31:$T35=$C40)*1,0),0)),"")</f>
        <v/>
      </c>
      <c r="M40">
        <f>IF($L40="",0,IF(INDEX($G40:$K40,MATCH($L40,Partecipanti!$B$5:$B$9,0))=1,1,0))</f>
        <v/>
      </c>
      <c r="N40">
        <f>IF($G40=0,100000,IF(Partecipanti!$B$5=$C40,100000,COUNTIF($S$6:$S39,Partecipanti!$B$5)*100+MOD(1-MATCH($C40,Partecipanti!$B$5:$B$9,0)-1,5)))</f>
        <v/>
      </c>
      <c r="O40">
        <f>IF($H40=0,100000,IF(Partecipanti!$B$6=$C40,100000,COUNTIF($S$6:$S39,Partecipanti!$B$6)*100+MOD(2-MATCH($C40,Partecipanti!$B$5:$B$9,0)-1,5)))</f>
        <v/>
      </c>
      <c r="P40">
        <f>IF($I40=0,100000,IF(Partecipanti!$B$7=$C40,100000,COUNTIF($S$6:$S39,Partecipanti!$B$7)*100+MOD(3-MATCH($C40,Partecipanti!$B$5:$B$9,0)-1,5)))</f>
        <v/>
      </c>
      <c r="Q40">
        <f>IF($J40=0,100000,IF(Partecipanti!$B$8=$C40,100000,COUNTIF($S$6:$S39,Partecipanti!$B$8)*100+MOD(4-MATCH($C40,Partecipanti!$B$5:$B$9,0)-1,5)))</f>
        <v/>
      </c>
      <c r="R40">
        <f>IF($K40=0,100000,IF(Partecipanti!$B$9=$C40,100000,COUNTIF($S$6:$S39,Partecipanti!$B$9)*100+MOD(5-MATCH($C40,Partecipanti!$B$5:$B$9,0)-1,5)))</f>
        <v/>
      </c>
      <c r="S40">
        <f>IF(OR($E40=0,$M40=1),"",IF(MIN($N40:$R40)&gt;=100000,"DA ASSEGNARE",INDEX(Partecipanti!$B$5:$B$9,MATCH(MIN($N40:$R40),$N40:$R40,0))))</f>
        <v/>
      </c>
      <c r="T40">
        <f>IF(AND($F40=1,$S40&lt;&gt;"",$S40&lt;&gt;"DA ASSEGNARE"),$S40,"")</f>
        <v/>
      </c>
      <c r="U40">
        <f>IF($M40=1,$L40,IF($E40=0,$C40,$S40))</f>
        <v/>
      </c>
      <c r="V40">
        <f>IF($M40=1,"Recupero",IF($E40=0,"Ordinario",IF($S40="DA ASSEGNARE","DA ASSEGNARE","Sostituzione (doppio turno)")))</f>
        <v/>
      </c>
      <c r="W40">
        <f>IF(OR($M40=1,$E40=1),$C40,"")</f>
        <v/>
      </c>
      <c r="X40">
        <f>IF($M40=1,$L40&amp;" recupera il turno saltato nella settimana "&amp;($A40-1)&amp;"; "&amp;$C40&amp;" a riposo compensativo",IF($E40=1,$C40&amp;" assente ("&amp;$D40&amp;")"&amp;IF($S40="DA ASSEGNARE","; nessun sostituto disponibile","; sostituisce "&amp;$S40&amp;" con doppio turno")&amp;IF($F40=1,"; turno da recuperare nella settimana "&amp;($A40+1),"; turno non da recuperare"),""))</f>
        <v/>
      </c>
      <c r="Y40">
        <f>IF($M40=1,"recupera il turno saltato nella settimana "&amp;($A40-1)&amp;", "&amp;$C40&amp;" a riposo",IF($E40=1,IF($S40="DA ASSEGNARE","turno da assegnare: "&amp;$C40&amp;" assente","in sostituzione di "&amp;$C40&amp;", doppio turno"),""))</f>
        <v/>
      </c>
    </row>
    <row r="41">
      <c r="A41" t="n">
        <v>8</v>
      </c>
      <c r="B41" s="43" t="n">
        <v>46342</v>
      </c>
      <c r="C41">
        <f>Partecipanti!$B$5</f>
        <v/>
      </c>
      <c r="D41">
        <f>IF(COUNTIFS(A_PERS,$C41,A_SETT,$A41,A_TIPO,"Licenza - settimana intera")&gt;0,"Licenza - settimana intera",IF(COUNTIFS(A_PERS,$C41,A_SETT,$A41,A_TIPO,"Attività esterna - settimana intera")&gt;0,"Attività esterna - settimana intera",IF(COUNTIFS(A_PERS,$C41,A_DATA,$B41)&gt;0,INDEX(A_TIPO,MATCH(1,INDEX((A_PERS=$C41)*(A_DATA=$B41),0),0)),"")))</f>
        <v/>
      </c>
      <c r="E41">
        <f>IF($D41="",0,1)</f>
        <v/>
      </c>
      <c r="F41">
        <f>IF($E41=0,0,IF(OR($D41="Licenza - settimana intera",$D41="Attività esterna - settimana intera"),0,1))</f>
        <v/>
      </c>
      <c r="G41">
        <f>IF(COUNTIFS(A_PERS,Partecipanti!$B$5,A_DATA,$B41)+COUNTIFS(A_PERS,Partecipanti!$B$5,A_SETT,$A41,A_TIPO,"Licenza - settimana intera")+COUNTIFS(A_PERS,Partecipanti!$B$5,A_SETT,$A41,A_TIPO,"Attività esterna - settimana intera")&gt;0,0,1)</f>
        <v/>
      </c>
      <c r="H41">
        <f>IF(COUNTIFS(A_PERS,Partecipanti!$B$6,A_DATA,$B41)+COUNTIFS(A_PERS,Partecipanti!$B$6,A_SETT,$A41,A_TIPO,"Licenza - settimana intera")+COUNTIFS(A_PERS,Partecipanti!$B$6,A_SETT,$A41,A_TIPO,"Attività esterna - settimana intera")&gt;0,0,1)</f>
        <v/>
      </c>
      <c r="I41">
        <f>IF(COUNTIFS(A_PERS,Partecipanti!$B$7,A_DATA,$B41)+COUNTIFS(A_PERS,Partecipanti!$B$7,A_SETT,$A41,A_TIPO,"Licenza - settimana intera")+COUNTIFS(A_PERS,Partecipanti!$B$7,A_SETT,$A41,A_TIPO,"Attività esterna - settimana intera")&gt;0,0,1)</f>
        <v/>
      </c>
      <c r="J41">
        <f>IF(COUNTIFS(A_PERS,Partecipanti!$B$8,A_DATA,$B41)+COUNTIFS(A_PERS,Partecipanti!$B$8,A_SETT,$A41,A_TIPO,"Licenza - settimana intera")+COUNTIFS(A_PERS,Partecipanti!$B$8,A_SETT,$A41,A_TIPO,"Attività esterna - settimana intera")&gt;0,0,1)</f>
        <v/>
      </c>
      <c r="K41">
        <f>IF(COUNTIFS(A_PERS,Partecipanti!$B$9,A_DATA,$B41)+COUNTIFS(A_PERS,Partecipanti!$B$9,A_SETT,$A41,A_TIPO,"Licenza - settimana intera")+COUNTIFS(A_PERS,Partecipanti!$B$9,A_SETT,$A41,A_TIPO,"Attività esterna - settimana intera")&gt;0,0,1)</f>
        <v/>
      </c>
      <c r="L41">
        <f>IFERROR(INDEX($C36:$C40,MATCH(1,INDEX(($T36:$T40=$C41)*1,0),0)),"")</f>
        <v/>
      </c>
      <c r="M41">
        <f>IF($L41="",0,IF(INDEX($G41:$K41,MATCH($L41,Partecipanti!$B$5:$B$9,0))=1,1,0))</f>
        <v/>
      </c>
      <c r="N41">
        <f>IF($G41=0,100000,IF(Partecipanti!$B$5=$C41,100000,COUNTIF($S$6:$S40,Partecipanti!$B$5)*100+MOD(1-MATCH($C41,Partecipanti!$B$5:$B$9,0)-1,5)))</f>
        <v/>
      </c>
      <c r="O41">
        <f>IF($H41=0,100000,IF(Partecipanti!$B$6=$C41,100000,COUNTIF($S$6:$S40,Partecipanti!$B$6)*100+MOD(2-MATCH($C41,Partecipanti!$B$5:$B$9,0)-1,5)))</f>
        <v/>
      </c>
      <c r="P41">
        <f>IF($I41=0,100000,IF(Partecipanti!$B$7=$C41,100000,COUNTIF($S$6:$S40,Partecipanti!$B$7)*100+MOD(3-MATCH($C41,Partecipanti!$B$5:$B$9,0)-1,5)))</f>
        <v/>
      </c>
      <c r="Q41">
        <f>IF($J41=0,100000,IF(Partecipanti!$B$8=$C41,100000,COUNTIF($S$6:$S40,Partecipanti!$B$8)*100+MOD(4-MATCH($C41,Partecipanti!$B$5:$B$9,0)-1,5)))</f>
        <v/>
      </c>
      <c r="R41">
        <f>IF($K41=0,100000,IF(Partecipanti!$B$9=$C41,100000,COUNTIF($S$6:$S40,Partecipanti!$B$9)*100+MOD(5-MATCH($C41,Partecipanti!$B$5:$B$9,0)-1,5)))</f>
        <v/>
      </c>
      <c r="S41">
        <f>IF(OR($E41=0,$M41=1),"",IF(MIN($N41:$R41)&gt;=100000,"DA ASSEGNARE",INDEX(Partecipanti!$B$5:$B$9,MATCH(MIN($N41:$R41),$N41:$R41,0))))</f>
        <v/>
      </c>
      <c r="T41">
        <f>IF(AND($F41=1,$S41&lt;&gt;"",$S41&lt;&gt;"DA ASSEGNARE"),$S41,"")</f>
        <v/>
      </c>
      <c r="U41">
        <f>IF($M41=1,$L41,IF($E41=0,$C41,$S41))</f>
        <v/>
      </c>
      <c r="V41">
        <f>IF($M41=1,"Recupero",IF($E41=0,"Ordinario",IF($S41="DA ASSEGNARE","DA ASSEGNARE","Sostituzione (doppio turno)")))</f>
        <v/>
      </c>
      <c r="W41">
        <f>IF(OR($M41=1,$E41=1),$C41,"")</f>
        <v/>
      </c>
      <c r="X41">
        <f>IF($M41=1,$L41&amp;" recupera il turno saltato nella settimana "&amp;($A41-1)&amp;"; "&amp;$C41&amp;" a riposo compensativo",IF($E41=1,$C41&amp;" assente ("&amp;$D41&amp;")"&amp;IF($S41="DA ASSEGNARE","; nessun sostituto disponibile","; sostituisce "&amp;$S41&amp;" con doppio turno")&amp;IF($F41=1,"; turno da recuperare nella settimana "&amp;($A41+1),"; turno non da recuperare"),""))</f>
        <v/>
      </c>
      <c r="Y41">
        <f>IF($M41=1,"recupera il turno saltato nella settimana "&amp;($A41-1)&amp;", "&amp;$C41&amp;" a riposo",IF($E41=1,IF($S41="DA ASSEGNARE","turno da assegnare: "&amp;$C41&amp;" assente","in sostituzione di "&amp;$C41&amp;", doppio turno"),""))</f>
        <v/>
      </c>
    </row>
    <row r="42">
      <c r="A42" t="n">
        <v>8</v>
      </c>
      <c r="B42" s="43" t="n">
        <v>46343</v>
      </c>
      <c r="C42">
        <f>Partecipanti!$B$6</f>
        <v/>
      </c>
      <c r="D42">
        <f>IF(COUNTIFS(A_PERS,$C42,A_SETT,$A42,A_TIPO,"Licenza - settimana intera")&gt;0,"Licenza - settimana intera",IF(COUNTIFS(A_PERS,$C42,A_SETT,$A42,A_TIPO,"Attività esterna - settimana intera")&gt;0,"Attività esterna - settimana intera",IF(COUNTIFS(A_PERS,$C42,A_DATA,$B42)&gt;0,INDEX(A_TIPO,MATCH(1,INDEX((A_PERS=$C42)*(A_DATA=$B42),0),0)),"")))</f>
        <v/>
      </c>
      <c r="E42">
        <f>IF($D42="",0,1)</f>
        <v/>
      </c>
      <c r="F42">
        <f>IF($E42=0,0,IF(OR($D42="Licenza - settimana intera",$D42="Attività esterna - settimana intera"),0,1))</f>
        <v/>
      </c>
      <c r="G42">
        <f>IF(COUNTIFS(A_PERS,Partecipanti!$B$5,A_DATA,$B42)+COUNTIFS(A_PERS,Partecipanti!$B$5,A_SETT,$A42,A_TIPO,"Licenza - settimana intera")+COUNTIFS(A_PERS,Partecipanti!$B$5,A_SETT,$A42,A_TIPO,"Attività esterna - settimana intera")&gt;0,0,1)</f>
        <v/>
      </c>
      <c r="H42">
        <f>IF(COUNTIFS(A_PERS,Partecipanti!$B$6,A_DATA,$B42)+COUNTIFS(A_PERS,Partecipanti!$B$6,A_SETT,$A42,A_TIPO,"Licenza - settimana intera")+COUNTIFS(A_PERS,Partecipanti!$B$6,A_SETT,$A42,A_TIPO,"Attività esterna - settimana intera")&gt;0,0,1)</f>
        <v/>
      </c>
      <c r="I42">
        <f>IF(COUNTIFS(A_PERS,Partecipanti!$B$7,A_DATA,$B42)+COUNTIFS(A_PERS,Partecipanti!$B$7,A_SETT,$A42,A_TIPO,"Licenza - settimana intera")+COUNTIFS(A_PERS,Partecipanti!$B$7,A_SETT,$A42,A_TIPO,"Attività esterna - settimana intera")&gt;0,0,1)</f>
        <v/>
      </c>
      <c r="J42">
        <f>IF(COUNTIFS(A_PERS,Partecipanti!$B$8,A_DATA,$B42)+COUNTIFS(A_PERS,Partecipanti!$B$8,A_SETT,$A42,A_TIPO,"Licenza - settimana intera")+COUNTIFS(A_PERS,Partecipanti!$B$8,A_SETT,$A42,A_TIPO,"Attività esterna - settimana intera")&gt;0,0,1)</f>
        <v/>
      </c>
      <c r="K42">
        <f>IF(COUNTIFS(A_PERS,Partecipanti!$B$9,A_DATA,$B42)+COUNTIFS(A_PERS,Partecipanti!$B$9,A_SETT,$A42,A_TIPO,"Licenza - settimana intera")+COUNTIFS(A_PERS,Partecipanti!$B$9,A_SETT,$A42,A_TIPO,"Attività esterna - settimana intera")&gt;0,0,1)</f>
        <v/>
      </c>
      <c r="L42">
        <f>IFERROR(INDEX($C36:$C40,MATCH(1,INDEX(($T36:$T40=$C42)*1,0),0)),"")</f>
        <v/>
      </c>
      <c r="M42">
        <f>IF($L42="",0,IF(INDEX($G42:$K42,MATCH($L42,Partecipanti!$B$5:$B$9,0))=1,1,0))</f>
        <v/>
      </c>
      <c r="N42">
        <f>IF($G42=0,100000,IF(Partecipanti!$B$5=$C42,100000,COUNTIF($S$6:$S41,Partecipanti!$B$5)*100+MOD(1-MATCH($C42,Partecipanti!$B$5:$B$9,0)-1,5)))</f>
        <v/>
      </c>
      <c r="O42">
        <f>IF($H42=0,100000,IF(Partecipanti!$B$6=$C42,100000,COUNTIF($S$6:$S41,Partecipanti!$B$6)*100+MOD(2-MATCH($C42,Partecipanti!$B$5:$B$9,0)-1,5)))</f>
        <v/>
      </c>
      <c r="P42">
        <f>IF($I42=0,100000,IF(Partecipanti!$B$7=$C42,100000,COUNTIF($S$6:$S41,Partecipanti!$B$7)*100+MOD(3-MATCH($C42,Partecipanti!$B$5:$B$9,0)-1,5)))</f>
        <v/>
      </c>
      <c r="Q42">
        <f>IF($J42=0,100000,IF(Partecipanti!$B$8=$C42,100000,COUNTIF($S$6:$S41,Partecipanti!$B$8)*100+MOD(4-MATCH($C42,Partecipanti!$B$5:$B$9,0)-1,5)))</f>
        <v/>
      </c>
      <c r="R42">
        <f>IF($K42=0,100000,IF(Partecipanti!$B$9=$C42,100000,COUNTIF($S$6:$S41,Partecipanti!$B$9)*100+MOD(5-MATCH($C42,Partecipanti!$B$5:$B$9,0)-1,5)))</f>
        <v/>
      </c>
      <c r="S42">
        <f>IF(OR($E42=0,$M42=1),"",IF(MIN($N42:$R42)&gt;=100000,"DA ASSEGNARE",INDEX(Partecipanti!$B$5:$B$9,MATCH(MIN($N42:$R42),$N42:$R42,0))))</f>
        <v/>
      </c>
      <c r="T42">
        <f>IF(AND($F42=1,$S42&lt;&gt;"",$S42&lt;&gt;"DA ASSEGNARE"),$S42,"")</f>
        <v/>
      </c>
      <c r="U42">
        <f>IF($M42=1,$L42,IF($E42=0,$C42,$S42))</f>
        <v/>
      </c>
      <c r="V42">
        <f>IF($M42=1,"Recupero",IF($E42=0,"Ordinario",IF($S42="DA ASSEGNARE","DA ASSEGNARE","Sostituzione (doppio turno)")))</f>
        <v/>
      </c>
      <c r="W42">
        <f>IF(OR($M42=1,$E42=1),$C42,"")</f>
        <v/>
      </c>
      <c r="X42">
        <f>IF($M42=1,$L42&amp;" recupera il turno saltato nella settimana "&amp;($A42-1)&amp;"; "&amp;$C42&amp;" a riposo compensativo",IF($E42=1,$C42&amp;" assente ("&amp;$D42&amp;")"&amp;IF($S42="DA ASSEGNARE","; nessun sostituto disponibile","; sostituisce "&amp;$S42&amp;" con doppio turno")&amp;IF($F42=1,"; turno da recuperare nella settimana "&amp;($A42+1),"; turno non da recuperare"),""))</f>
        <v/>
      </c>
      <c r="Y42">
        <f>IF($M42=1,"recupera il turno saltato nella settimana "&amp;($A42-1)&amp;", "&amp;$C42&amp;" a riposo",IF($E42=1,IF($S42="DA ASSEGNARE","turno da assegnare: "&amp;$C42&amp;" assente","in sostituzione di "&amp;$C42&amp;", doppio turno"),""))</f>
        <v/>
      </c>
    </row>
    <row r="43">
      <c r="A43" t="n">
        <v>8</v>
      </c>
      <c r="B43" s="43" t="n">
        <v>46344</v>
      </c>
      <c r="C43">
        <f>Partecipanti!$B$7</f>
        <v/>
      </c>
      <c r="D43">
        <f>IF(COUNTIFS(A_PERS,$C43,A_SETT,$A43,A_TIPO,"Licenza - settimana intera")&gt;0,"Licenza - settimana intera",IF(COUNTIFS(A_PERS,$C43,A_SETT,$A43,A_TIPO,"Attività esterna - settimana intera")&gt;0,"Attività esterna - settimana intera",IF(COUNTIFS(A_PERS,$C43,A_DATA,$B43)&gt;0,INDEX(A_TIPO,MATCH(1,INDEX((A_PERS=$C43)*(A_DATA=$B43),0),0)),"")))</f>
        <v/>
      </c>
      <c r="E43">
        <f>IF($D43="",0,1)</f>
        <v/>
      </c>
      <c r="F43">
        <f>IF($E43=0,0,IF(OR($D43="Licenza - settimana intera",$D43="Attività esterna - settimana intera"),0,1))</f>
        <v/>
      </c>
      <c r="G43">
        <f>IF(COUNTIFS(A_PERS,Partecipanti!$B$5,A_DATA,$B43)+COUNTIFS(A_PERS,Partecipanti!$B$5,A_SETT,$A43,A_TIPO,"Licenza - settimana intera")+COUNTIFS(A_PERS,Partecipanti!$B$5,A_SETT,$A43,A_TIPO,"Attività esterna - settimana intera")&gt;0,0,1)</f>
        <v/>
      </c>
      <c r="H43">
        <f>IF(COUNTIFS(A_PERS,Partecipanti!$B$6,A_DATA,$B43)+COUNTIFS(A_PERS,Partecipanti!$B$6,A_SETT,$A43,A_TIPO,"Licenza - settimana intera")+COUNTIFS(A_PERS,Partecipanti!$B$6,A_SETT,$A43,A_TIPO,"Attività esterna - settimana intera")&gt;0,0,1)</f>
        <v/>
      </c>
      <c r="I43">
        <f>IF(COUNTIFS(A_PERS,Partecipanti!$B$7,A_DATA,$B43)+COUNTIFS(A_PERS,Partecipanti!$B$7,A_SETT,$A43,A_TIPO,"Licenza - settimana intera")+COUNTIFS(A_PERS,Partecipanti!$B$7,A_SETT,$A43,A_TIPO,"Attività esterna - settimana intera")&gt;0,0,1)</f>
        <v/>
      </c>
      <c r="J43">
        <f>IF(COUNTIFS(A_PERS,Partecipanti!$B$8,A_DATA,$B43)+COUNTIFS(A_PERS,Partecipanti!$B$8,A_SETT,$A43,A_TIPO,"Licenza - settimana intera")+COUNTIFS(A_PERS,Partecipanti!$B$8,A_SETT,$A43,A_TIPO,"Attività esterna - settimana intera")&gt;0,0,1)</f>
        <v/>
      </c>
      <c r="K43">
        <f>IF(COUNTIFS(A_PERS,Partecipanti!$B$9,A_DATA,$B43)+COUNTIFS(A_PERS,Partecipanti!$B$9,A_SETT,$A43,A_TIPO,"Licenza - settimana intera")+COUNTIFS(A_PERS,Partecipanti!$B$9,A_SETT,$A43,A_TIPO,"Attività esterna - settimana intera")&gt;0,0,1)</f>
        <v/>
      </c>
      <c r="L43">
        <f>IFERROR(INDEX($C36:$C40,MATCH(1,INDEX(($T36:$T40=$C43)*1,0),0)),"")</f>
        <v/>
      </c>
      <c r="M43">
        <f>IF($L43="",0,IF(INDEX($G43:$K43,MATCH($L43,Partecipanti!$B$5:$B$9,0))=1,1,0))</f>
        <v/>
      </c>
      <c r="N43">
        <f>IF($G43=0,100000,IF(Partecipanti!$B$5=$C43,100000,COUNTIF($S$6:$S42,Partecipanti!$B$5)*100+MOD(1-MATCH($C43,Partecipanti!$B$5:$B$9,0)-1,5)))</f>
        <v/>
      </c>
      <c r="O43">
        <f>IF($H43=0,100000,IF(Partecipanti!$B$6=$C43,100000,COUNTIF($S$6:$S42,Partecipanti!$B$6)*100+MOD(2-MATCH($C43,Partecipanti!$B$5:$B$9,0)-1,5)))</f>
        <v/>
      </c>
      <c r="P43">
        <f>IF($I43=0,100000,IF(Partecipanti!$B$7=$C43,100000,COUNTIF($S$6:$S42,Partecipanti!$B$7)*100+MOD(3-MATCH($C43,Partecipanti!$B$5:$B$9,0)-1,5)))</f>
        <v/>
      </c>
      <c r="Q43">
        <f>IF($J43=0,100000,IF(Partecipanti!$B$8=$C43,100000,COUNTIF($S$6:$S42,Partecipanti!$B$8)*100+MOD(4-MATCH($C43,Partecipanti!$B$5:$B$9,0)-1,5)))</f>
        <v/>
      </c>
      <c r="R43">
        <f>IF($K43=0,100000,IF(Partecipanti!$B$9=$C43,100000,COUNTIF($S$6:$S42,Partecipanti!$B$9)*100+MOD(5-MATCH($C43,Partecipanti!$B$5:$B$9,0)-1,5)))</f>
        <v/>
      </c>
      <c r="S43">
        <f>IF(OR($E43=0,$M43=1),"",IF(MIN($N43:$R43)&gt;=100000,"DA ASSEGNARE",INDEX(Partecipanti!$B$5:$B$9,MATCH(MIN($N43:$R43),$N43:$R43,0))))</f>
        <v/>
      </c>
      <c r="T43">
        <f>IF(AND($F43=1,$S43&lt;&gt;"",$S43&lt;&gt;"DA ASSEGNARE"),$S43,"")</f>
        <v/>
      </c>
      <c r="U43">
        <f>IF($M43=1,$L43,IF($E43=0,$C43,$S43))</f>
        <v/>
      </c>
      <c r="V43">
        <f>IF($M43=1,"Recupero",IF($E43=0,"Ordinario",IF($S43="DA ASSEGNARE","DA ASSEGNARE","Sostituzione (doppio turno)")))</f>
        <v/>
      </c>
      <c r="W43">
        <f>IF(OR($M43=1,$E43=1),$C43,"")</f>
        <v/>
      </c>
      <c r="X43">
        <f>IF($M43=1,$L43&amp;" recupera il turno saltato nella settimana "&amp;($A43-1)&amp;"; "&amp;$C43&amp;" a riposo compensativo",IF($E43=1,$C43&amp;" assente ("&amp;$D43&amp;")"&amp;IF($S43="DA ASSEGNARE","; nessun sostituto disponibile","; sostituisce "&amp;$S43&amp;" con doppio turno")&amp;IF($F43=1,"; turno da recuperare nella settimana "&amp;($A43+1),"; turno non da recuperare"),""))</f>
        <v/>
      </c>
      <c r="Y43">
        <f>IF($M43=1,"recupera il turno saltato nella settimana "&amp;($A43-1)&amp;", "&amp;$C43&amp;" a riposo",IF($E43=1,IF($S43="DA ASSEGNARE","turno da assegnare: "&amp;$C43&amp;" assente","in sostituzione di "&amp;$C43&amp;", doppio turno"),""))</f>
        <v/>
      </c>
    </row>
    <row r="44">
      <c r="A44" t="n">
        <v>8</v>
      </c>
      <c r="B44" s="43" t="n">
        <v>46345</v>
      </c>
      <c r="C44">
        <f>Partecipanti!$B$8</f>
        <v/>
      </c>
      <c r="D44">
        <f>IF(COUNTIFS(A_PERS,$C44,A_SETT,$A44,A_TIPO,"Licenza - settimana intera")&gt;0,"Licenza - settimana intera",IF(COUNTIFS(A_PERS,$C44,A_SETT,$A44,A_TIPO,"Attività esterna - settimana intera")&gt;0,"Attività esterna - settimana intera",IF(COUNTIFS(A_PERS,$C44,A_DATA,$B44)&gt;0,INDEX(A_TIPO,MATCH(1,INDEX((A_PERS=$C44)*(A_DATA=$B44),0),0)),"")))</f>
        <v/>
      </c>
      <c r="E44">
        <f>IF($D44="",0,1)</f>
        <v/>
      </c>
      <c r="F44">
        <f>IF($E44=0,0,IF(OR($D44="Licenza - settimana intera",$D44="Attività esterna - settimana intera"),0,1))</f>
        <v/>
      </c>
      <c r="G44">
        <f>IF(COUNTIFS(A_PERS,Partecipanti!$B$5,A_DATA,$B44)+COUNTIFS(A_PERS,Partecipanti!$B$5,A_SETT,$A44,A_TIPO,"Licenza - settimana intera")+COUNTIFS(A_PERS,Partecipanti!$B$5,A_SETT,$A44,A_TIPO,"Attività esterna - settimana intera")&gt;0,0,1)</f>
        <v/>
      </c>
      <c r="H44">
        <f>IF(COUNTIFS(A_PERS,Partecipanti!$B$6,A_DATA,$B44)+COUNTIFS(A_PERS,Partecipanti!$B$6,A_SETT,$A44,A_TIPO,"Licenza - settimana intera")+COUNTIFS(A_PERS,Partecipanti!$B$6,A_SETT,$A44,A_TIPO,"Attività esterna - settimana intera")&gt;0,0,1)</f>
        <v/>
      </c>
      <c r="I44">
        <f>IF(COUNTIFS(A_PERS,Partecipanti!$B$7,A_DATA,$B44)+COUNTIFS(A_PERS,Partecipanti!$B$7,A_SETT,$A44,A_TIPO,"Licenza - settimana intera")+COUNTIFS(A_PERS,Partecipanti!$B$7,A_SETT,$A44,A_TIPO,"Attività esterna - settimana intera")&gt;0,0,1)</f>
        <v/>
      </c>
      <c r="J44">
        <f>IF(COUNTIFS(A_PERS,Partecipanti!$B$8,A_DATA,$B44)+COUNTIFS(A_PERS,Partecipanti!$B$8,A_SETT,$A44,A_TIPO,"Licenza - settimana intera")+COUNTIFS(A_PERS,Partecipanti!$B$8,A_SETT,$A44,A_TIPO,"Attività esterna - settimana intera")&gt;0,0,1)</f>
        <v/>
      </c>
      <c r="K44">
        <f>IF(COUNTIFS(A_PERS,Partecipanti!$B$9,A_DATA,$B44)+COUNTIFS(A_PERS,Partecipanti!$B$9,A_SETT,$A44,A_TIPO,"Licenza - settimana intera")+COUNTIFS(A_PERS,Partecipanti!$B$9,A_SETT,$A44,A_TIPO,"Attività esterna - settimana intera")&gt;0,0,1)</f>
        <v/>
      </c>
      <c r="L44">
        <f>IFERROR(INDEX($C36:$C40,MATCH(1,INDEX(($T36:$T40=$C44)*1,0),0)),"")</f>
        <v/>
      </c>
      <c r="M44">
        <f>IF($L44="",0,IF(INDEX($G44:$K44,MATCH($L44,Partecipanti!$B$5:$B$9,0))=1,1,0))</f>
        <v/>
      </c>
      <c r="N44">
        <f>IF($G44=0,100000,IF(Partecipanti!$B$5=$C44,100000,COUNTIF($S$6:$S43,Partecipanti!$B$5)*100+MOD(1-MATCH($C44,Partecipanti!$B$5:$B$9,0)-1,5)))</f>
        <v/>
      </c>
      <c r="O44">
        <f>IF($H44=0,100000,IF(Partecipanti!$B$6=$C44,100000,COUNTIF($S$6:$S43,Partecipanti!$B$6)*100+MOD(2-MATCH($C44,Partecipanti!$B$5:$B$9,0)-1,5)))</f>
        <v/>
      </c>
      <c r="P44">
        <f>IF($I44=0,100000,IF(Partecipanti!$B$7=$C44,100000,COUNTIF($S$6:$S43,Partecipanti!$B$7)*100+MOD(3-MATCH($C44,Partecipanti!$B$5:$B$9,0)-1,5)))</f>
        <v/>
      </c>
      <c r="Q44">
        <f>IF($J44=0,100000,IF(Partecipanti!$B$8=$C44,100000,COUNTIF($S$6:$S43,Partecipanti!$B$8)*100+MOD(4-MATCH($C44,Partecipanti!$B$5:$B$9,0)-1,5)))</f>
        <v/>
      </c>
      <c r="R44">
        <f>IF($K44=0,100000,IF(Partecipanti!$B$9=$C44,100000,COUNTIF($S$6:$S43,Partecipanti!$B$9)*100+MOD(5-MATCH($C44,Partecipanti!$B$5:$B$9,0)-1,5)))</f>
        <v/>
      </c>
      <c r="S44">
        <f>IF(OR($E44=0,$M44=1),"",IF(MIN($N44:$R44)&gt;=100000,"DA ASSEGNARE",INDEX(Partecipanti!$B$5:$B$9,MATCH(MIN($N44:$R44),$N44:$R44,0))))</f>
        <v/>
      </c>
      <c r="T44">
        <f>IF(AND($F44=1,$S44&lt;&gt;"",$S44&lt;&gt;"DA ASSEGNARE"),$S44,"")</f>
        <v/>
      </c>
      <c r="U44">
        <f>IF($M44=1,$L44,IF($E44=0,$C44,$S44))</f>
        <v/>
      </c>
      <c r="V44">
        <f>IF($M44=1,"Recupero",IF($E44=0,"Ordinario",IF($S44="DA ASSEGNARE","DA ASSEGNARE","Sostituzione (doppio turno)")))</f>
        <v/>
      </c>
      <c r="W44">
        <f>IF(OR($M44=1,$E44=1),$C44,"")</f>
        <v/>
      </c>
      <c r="X44">
        <f>IF($M44=1,$L44&amp;" recupera il turno saltato nella settimana "&amp;($A44-1)&amp;"; "&amp;$C44&amp;" a riposo compensativo",IF($E44=1,$C44&amp;" assente ("&amp;$D44&amp;")"&amp;IF($S44="DA ASSEGNARE","; nessun sostituto disponibile","; sostituisce "&amp;$S44&amp;" con doppio turno")&amp;IF($F44=1,"; turno da recuperare nella settimana "&amp;($A44+1),"; turno non da recuperare"),""))</f>
        <v/>
      </c>
      <c r="Y44">
        <f>IF($M44=1,"recupera il turno saltato nella settimana "&amp;($A44-1)&amp;", "&amp;$C44&amp;" a riposo",IF($E44=1,IF($S44="DA ASSEGNARE","turno da assegnare: "&amp;$C44&amp;" assente","in sostituzione di "&amp;$C44&amp;", doppio turno"),""))</f>
        <v/>
      </c>
    </row>
    <row r="45">
      <c r="A45" t="n">
        <v>8</v>
      </c>
      <c r="B45" s="43" t="n">
        <v>46346</v>
      </c>
      <c r="C45">
        <f>Partecipanti!$B$9</f>
        <v/>
      </c>
      <c r="D45">
        <f>IF(COUNTIFS(A_PERS,$C45,A_SETT,$A45,A_TIPO,"Licenza - settimana intera")&gt;0,"Licenza - settimana intera",IF(COUNTIFS(A_PERS,$C45,A_SETT,$A45,A_TIPO,"Attività esterna - settimana intera")&gt;0,"Attività esterna - settimana intera",IF(COUNTIFS(A_PERS,$C45,A_DATA,$B45)&gt;0,INDEX(A_TIPO,MATCH(1,INDEX((A_PERS=$C45)*(A_DATA=$B45),0),0)),"")))</f>
        <v/>
      </c>
      <c r="E45">
        <f>IF($D45="",0,1)</f>
        <v/>
      </c>
      <c r="F45">
        <f>IF($E45=0,0,IF(OR($D45="Licenza - settimana intera",$D45="Attività esterna - settimana intera"),0,1))</f>
        <v/>
      </c>
      <c r="G45">
        <f>IF(COUNTIFS(A_PERS,Partecipanti!$B$5,A_DATA,$B45)+COUNTIFS(A_PERS,Partecipanti!$B$5,A_SETT,$A45,A_TIPO,"Licenza - settimana intera")+COUNTIFS(A_PERS,Partecipanti!$B$5,A_SETT,$A45,A_TIPO,"Attività esterna - settimana intera")&gt;0,0,1)</f>
        <v/>
      </c>
      <c r="H45">
        <f>IF(COUNTIFS(A_PERS,Partecipanti!$B$6,A_DATA,$B45)+COUNTIFS(A_PERS,Partecipanti!$B$6,A_SETT,$A45,A_TIPO,"Licenza - settimana intera")+COUNTIFS(A_PERS,Partecipanti!$B$6,A_SETT,$A45,A_TIPO,"Attività esterna - settimana intera")&gt;0,0,1)</f>
        <v/>
      </c>
      <c r="I45">
        <f>IF(COUNTIFS(A_PERS,Partecipanti!$B$7,A_DATA,$B45)+COUNTIFS(A_PERS,Partecipanti!$B$7,A_SETT,$A45,A_TIPO,"Licenza - settimana intera")+COUNTIFS(A_PERS,Partecipanti!$B$7,A_SETT,$A45,A_TIPO,"Attività esterna - settimana intera")&gt;0,0,1)</f>
        <v/>
      </c>
      <c r="J45">
        <f>IF(COUNTIFS(A_PERS,Partecipanti!$B$8,A_DATA,$B45)+COUNTIFS(A_PERS,Partecipanti!$B$8,A_SETT,$A45,A_TIPO,"Licenza - settimana intera")+COUNTIFS(A_PERS,Partecipanti!$B$8,A_SETT,$A45,A_TIPO,"Attività esterna - settimana intera")&gt;0,0,1)</f>
        <v/>
      </c>
      <c r="K45">
        <f>IF(COUNTIFS(A_PERS,Partecipanti!$B$9,A_DATA,$B45)+COUNTIFS(A_PERS,Partecipanti!$B$9,A_SETT,$A45,A_TIPO,"Licenza - settimana intera")+COUNTIFS(A_PERS,Partecipanti!$B$9,A_SETT,$A45,A_TIPO,"Attività esterna - settimana intera")&gt;0,0,1)</f>
        <v/>
      </c>
      <c r="L45">
        <f>IFERROR(INDEX($C36:$C40,MATCH(1,INDEX(($T36:$T40=$C45)*1,0),0)),"")</f>
        <v/>
      </c>
      <c r="M45">
        <f>IF($L45="",0,IF(INDEX($G45:$K45,MATCH($L45,Partecipanti!$B$5:$B$9,0))=1,1,0))</f>
        <v/>
      </c>
      <c r="N45">
        <f>IF($G45=0,100000,IF(Partecipanti!$B$5=$C45,100000,COUNTIF($S$6:$S44,Partecipanti!$B$5)*100+MOD(1-MATCH($C45,Partecipanti!$B$5:$B$9,0)-1,5)))</f>
        <v/>
      </c>
      <c r="O45">
        <f>IF($H45=0,100000,IF(Partecipanti!$B$6=$C45,100000,COUNTIF($S$6:$S44,Partecipanti!$B$6)*100+MOD(2-MATCH($C45,Partecipanti!$B$5:$B$9,0)-1,5)))</f>
        <v/>
      </c>
      <c r="P45">
        <f>IF($I45=0,100000,IF(Partecipanti!$B$7=$C45,100000,COUNTIF($S$6:$S44,Partecipanti!$B$7)*100+MOD(3-MATCH($C45,Partecipanti!$B$5:$B$9,0)-1,5)))</f>
        <v/>
      </c>
      <c r="Q45">
        <f>IF($J45=0,100000,IF(Partecipanti!$B$8=$C45,100000,COUNTIF($S$6:$S44,Partecipanti!$B$8)*100+MOD(4-MATCH($C45,Partecipanti!$B$5:$B$9,0)-1,5)))</f>
        <v/>
      </c>
      <c r="R45">
        <f>IF($K45=0,100000,IF(Partecipanti!$B$9=$C45,100000,COUNTIF($S$6:$S44,Partecipanti!$B$9)*100+MOD(5-MATCH($C45,Partecipanti!$B$5:$B$9,0)-1,5)))</f>
        <v/>
      </c>
      <c r="S45">
        <f>IF(OR($E45=0,$M45=1),"",IF(MIN($N45:$R45)&gt;=100000,"DA ASSEGNARE",INDEX(Partecipanti!$B$5:$B$9,MATCH(MIN($N45:$R45),$N45:$R45,0))))</f>
        <v/>
      </c>
      <c r="T45">
        <f>IF(AND($F45=1,$S45&lt;&gt;"",$S45&lt;&gt;"DA ASSEGNARE"),$S45,"")</f>
        <v/>
      </c>
      <c r="U45">
        <f>IF($M45=1,$L45,IF($E45=0,$C45,$S45))</f>
        <v/>
      </c>
      <c r="V45">
        <f>IF($M45=1,"Recupero",IF($E45=0,"Ordinario",IF($S45="DA ASSEGNARE","DA ASSEGNARE","Sostituzione (doppio turno)")))</f>
        <v/>
      </c>
      <c r="W45">
        <f>IF(OR($M45=1,$E45=1),$C45,"")</f>
        <v/>
      </c>
      <c r="X45">
        <f>IF($M45=1,$L45&amp;" recupera il turno saltato nella settimana "&amp;($A45-1)&amp;"; "&amp;$C45&amp;" a riposo compensativo",IF($E45=1,$C45&amp;" assente ("&amp;$D45&amp;")"&amp;IF($S45="DA ASSEGNARE","; nessun sostituto disponibile","; sostituisce "&amp;$S45&amp;" con doppio turno")&amp;IF($F45=1,"; turno da recuperare nella settimana "&amp;($A45+1),"; turno non da recuperare"),""))</f>
        <v/>
      </c>
      <c r="Y45">
        <f>IF($M45=1,"recupera il turno saltato nella settimana "&amp;($A45-1)&amp;", "&amp;$C45&amp;" a riposo",IF($E45=1,IF($S45="DA ASSEGNARE","turno da assegnare: "&amp;$C45&amp;" assente","in sostituzione di "&amp;$C45&amp;", doppio turno"),""))</f>
        <v/>
      </c>
    </row>
    <row r="46">
      <c r="A46" t="n">
        <v>9</v>
      </c>
      <c r="B46" s="43" t="n">
        <v>46349</v>
      </c>
      <c r="C46">
        <f>Partecipanti!$B$5</f>
        <v/>
      </c>
      <c r="D46">
        <f>IF(COUNTIFS(A_PERS,$C46,A_SETT,$A46,A_TIPO,"Licenza - settimana intera")&gt;0,"Licenza - settimana intera",IF(COUNTIFS(A_PERS,$C46,A_SETT,$A46,A_TIPO,"Attività esterna - settimana intera")&gt;0,"Attività esterna - settimana intera",IF(COUNTIFS(A_PERS,$C46,A_DATA,$B46)&gt;0,INDEX(A_TIPO,MATCH(1,INDEX((A_PERS=$C46)*(A_DATA=$B46),0),0)),"")))</f>
        <v/>
      </c>
      <c r="E46">
        <f>IF($D46="",0,1)</f>
        <v/>
      </c>
      <c r="F46">
        <f>IF($E46=0,0,IF(OR($D46="Licenza - settimana intera",$D46="Attività esterna - settimana intera"),0,1))</f>
        <v/>
      </c>
      <c r="G46">
        <f>IF(COUNTIFS(A_PERS,Partecipanti!$B$5,A_DATA,$B46)+COUNTIFS(A_PERS,Partecipanti!$B$5,A_SETT,$A46,A_TIPO,"Licenza - settimana intera")+COUNTIFS(A_PERS,Partecipanti!$B$5,A_SETT,$A46,A_TIPO,"Attività esterna - settimana intera")&gt;0,0,1)</f>
        <v/>
      </c>
      <c r="H46">
        <f>IF(COUNTIFS(A_PERS,Partecipanti!$B$6,A_DATA,$B46)+COUNTIFS(A_PERS,Partecipanti!$B$6,A_SETT,$A46,A_TIPO,"Licenza - settimana intera")+COUNTIFS(A_PERS,Partecipanti!$B$6,A_SETT,$A46,A_TIPO,"Attività esterna - settimana intera")&gt;0,0,1)</f>
        <v/>
      </c>
      <c r="I46">
        <f>IF(COUNTIFS(A_PERS,Partecipanti!$B$7,A_DATA,$B46)+COUNTIFS(A_PERS,Partecipanti!$B$7,A_SETT,$A46,A_TIPO,"Licenza - settimana intera")+COUNTIFS(A_PERS,Partecipanti!$B$7,A_SETT,$A46,A_TIPO,"Attività esterna - settimana intera")&gt;0,0,1)</f>
        <v/>
      </c>
      <c r="J46">
        <f>IF(COUNTIFS(A_PERS,Partecipanti!$B$8,A_DATA,$B46)+COUNTIFS(A_PERS,Partecipanti!$B$8,A_SETT,$A46,A_TIPO,"Licenza - settimana intera")+COUNTIFS(A_PERS,Partecipanti!$B$8,A_SETT,$A46,A_TIPO,"Attività esterna - settimana intera")&gt;0,0,1)</f>
        <v/>
      </c>
      <c r="K46">
        <f>IF(COUNTIFS(A_PERS,Partecipanti!$B$9,A_DATA,$B46)+COUNTIFS(A_PERS,Partecipanti!$B$9,A_SETT,$A46,A_TIPO,"Licenza - settimana intera")+COUNTIFS(A_PERS,Partecipanti!$B$9,A_SETT,$A46,A_TIPO,"Attività esterna - settimana intera")&gt;0,0,1)</f>
        <v/>
      </c>
      <c r="L46">
        <f>IFERROR(INDEX($C41:$C45,MATCH(1,INDEX(($T41:$T45=$C46)*1,0),0)),"")</f>
        <v/>
      </c>
      <c r="M46">
        <f>IF($L46="",0,IF(INDEX($G46:$K46,MATCH($L46,Partecipanti!$B$5:$B$9,0))=1,1,0))</f>
        <v/>
      </c>
      <c r="N46">
        <f>IF($G46=0,100000,IF(Partecipanti!$B$5=$C46,100000,COUNTIF($S$6:$S45,Partecipanti!$B$5)*100+MOD(1-MATCH($C46,Partecipanti!$B$5:$B$9,0)-1,5)))</f>
        <v/>
      </c>
      <c r="O46">
        <f>IF($H46=0,100000,IF(Partecipanti!$B$6=$C46,100000,COUNTIF($S$6:$S45,Partecipanti!$B$6)*100+MOD(2-MATCH($C46,Partecipanti!$B$5:$B$9,0)-1,5)))</f>
        <v/>
      </c>
      <c r="P46">
        <f>IF($I46=0,100000,IF(Partecipanti!$B$7=$C46,100000,COUNTIF($S$6:$S45,Partecipanti!$B$7)*100+MOD(3-MATCH($C46,Partecipanti!$B$5:$B$9,0)-1,5)))</f>
        <v/>
      </c>
      <c r="Q46">
        <f>IF($J46=0,100000,IF(Partecipanti!$B$8=$C46,100000,COUNTIF($S$6:$S45,Partecipanti!$B$8)*100+MOD(4-MATCH($C46,Partecipanti!$B$5:$B$9,0)-1,5)))</f>
        <v/>
      </c>
      <c r="R46">
        <f>IF($K46=0,100000,IF(Partecipanti!$B$9=$C46,100000,COUNTIF($S$6:$S45,Partecipanti!$B$9)*100+MOD(5-MATCH($C46,Partecipanti!$B$5:$B$9,0)-1,5)))</f>
        <v/>
      </c>
      <c r="S46">
        <f>IF(OR($E46=0,$M46=1),"",IF(MIN($N46:$R46)&gt;=100000,"DA ASSEGNARE",INDEX(Partecipanti!$B$5:$B$9,MATCH(MIN($N46:$R46),$N46:$R46,0))))</f>
        <v/>
      </c>
      <c r="T46">
        <f>IF(AND($F46=1,$S46&lt;&gt;"",$S46&lt;&gt;"DA ASSEGNARE"),$S46,"")</f>
        <v/>
      </c>
      <c r="U46">
        <f>IF($M46=1,$L46,IF($E46=0,$C46,$S46))</f>
        <v/>
      </c>
      <c r="V46">
        <f>IF($M46=1,"Recupero",IF($E46=0,"Ordinario",IF($S46="DA ASSEGNARE","DA ASSEGNARE","Sostituzione (doppio turno)")))</f>
        <v/>
      </c>
      <c r="W46">
        <f>IF(OR($M46=1,$E46=1),$C46,"")</f>
        <v/>
      </c>
      <c r="X46">
        <f>IF($M46=1,$L46&amp;" recupera il turno saltato nella settimana "&amp;($A46-1)&amp;"; "&amp;$C46&amp;" a riposo compensativo",IF($E46=1,$C46&amp;" assente ("&amp;$D46&amp;")"&amp;IF($S46="DA ASSEGNARE","; nessun sostituto disponibile","; sostituisce "&amp;$S46&amp;" con doppio turno")&amp;IF($F46=1,"; turno da recuperare nella settimana "&amp;($A46+1),"; turno non da recuperare"),""))</f>
        <v/>
      </c>
      <c r="Y46">
        <f>IF($M46=1,"recupera il turno saltato nella settimana "&amp;($A46-1)&amp;", "&amp;$C46&amp;" a riposo",IF($E46=1,IF($S46="DA ASSEGNARE","turno da assegnare: "&amp;$C46&amp;" assente","in sostituzione di "&amp;$C46&amp;", doppio turno"),""))</f>
        <v/>
      </c>
    </row>
    <row r="47">
      <c r="A47" t="n">
        <v>9</v>
      </c>
      <c r="B47" s="43" t="n">
        <v>46350</v>
      </c>
      <c r="C47">
        <f>Partecipanti!$B$6</f>
        <v/>
      </c>
      <c r="D47">
        <f>IF(COUNTIFS(A_PERS,$C47,A_SETT,$A47,A_TIPO,"Licenza - settimana intera")&gt;0,"Licenza - settimana intera",IF(COUNTIFS(A_PERS,$C47,A_SETT,$A47,A_TIPO,"Attività esterna - settimana intera")&gt;0,"Attività esterna - settimana intera",IF(COUNTIFS(A_PERS,$C47,A_DATA,$B47)&gt;0,INDEX(A_TIPO,MATCH(1,INDEX((A_PERS=$C47)*(A_DATA=$B47),0),0)),"")))</f>
        <v/>
      </c>
      <c r="E47">
        <f>IF($D47="",0,1)</f>
        <v/>
      </c>
      <c r="F47">
        <f>IF($E47=0,0,IF(OR($D47="Licenza - settimana intera",$D47="Attività esterna - settimana intera"),0,1))</f>
        <v/>
      </c>
      <c r="G47">
        <f>IF(COUNTIFS(A_PERS,Partecipanti!$B$5,A_DATA,$B47)+COUNTIFS(A_PERS,Partecipanti!$B$5,A_SETT,$A47,A_TIPO,"Licenza - settimana intera")+COUNTIFS(A_PERS,Partecipanti!$B$5,A_SETT,$A47,A_TIPO,"Attività esterna - settimana intera")&gt;0,0,1)</f>
        <v/>
      </c>
      <c r="H47">
        <f>IF(COUNTIFS(A_PERS,Partecipanti!$B$6,A_DATA,$B47)+COUNTIFS(A_PERS,Partecipanti!$B$6,A_SETT,$A47,A_TIPO,"Licenza - settimana intera")+COUNTIFS(A_PERS,Partecipanti!$B$6,A_SETT,$A47,A_TIPO,"Attività esterna - settimana intera")&gt;0,0,1)</f>
        <v/>
      </c>
      <c r="I47">
        <f>IF(COUNTIFS(A_PERS,Partecipanti!$B$7,A_DATA,$B47)+COUNTIFS(A_PERS,Partecipanti!$B$7,A_SETT,$A47,A_TIPO,"Licenza - settimana intera")+COUNTIFS(A_PERS,Partecipanti!$B$7,A_SETT,$A47,A_TIPO,"Attività esterna - settimana intera")&gt;0,0,1)</f>
        <v/>
      </c>
      <c r="J47">
        <f>IF(COUNTIFS(A_PERS,Partecipanti!$B$8,A_DATA,$B47)+COUNTIFS(A_PERS,Partecipanti!$B$8,A_SETT,$A47,A_TIPO,"Licenza - settimana intera")+COUNTIFS(A_PERS,Partecipanti!$B$8,A_SETT,$A47,A_TIPO,"Attività esterna - settimana intera")&gt;0,0,1)</f>
        <v/>
      </c>
      <c r="K47">
        <f>IF(COUNTIFS(A_PERS,Partecipanti!$B$9,A_DATA,$B47)+COUNTIFS(A_PERS,Partecipanti!$B$9,A_SETT,$A47,A_TIPO,"Licenza - settimana intera")+COUNTIFS(A_PERS,Partecipanti!$B$9,A_SETT,$A47,A_TIPO,"Attività esterna - settimana intera")&gt;0,0,1)</f>
        <v/>
      </c>
      <c r="L47">
        <f>IFERROR(INDEX($C41:$C45,MATCH(1,INDEX(($T41:$T45=$C47)*1,0),0)),"")</f>
        <v/>
      </c>
      <c r="M47">
        <f>IF($L47="",0,IF(INDEX($G47:$K47,MATCH($L47,Partecipanti!$B$5:$B$9,0))=1,1,0))</f>
        <v/>
      </c>
      <c r="N47">
        <f>IF($G47=0,100000,IF(Partecipanti!$B$5=$C47,100000,COUNTIF($S$6:$S46,Partecipanti!$B$5)*100+MOD(1-MATCH($C47,Partecipanti!$B$5:$B$9,0)-1,5)))</f>
        <v/>
      </c>
      <c r="O47">
        <f>IF($H47=0,100000,IF(Partecipanti!$B$6=$C47,100000,COUNTIF($S$6:$S46,Partecipanti!$B$6)*100+MOD(2-MATCH($C47,Partecipanti!$B$5:$B$9,0)-1,5)))</f>
        <v/>
      </c>
      <c r="P47">
        <f>IF($I47=0,100000,IF(Partecipanti!$B$7=$C47,100000,COUNTIF($S$6:$S46,Partecipanti!$B$7)*100+MOD(3-MATCH($C47,Partecipanti!$B$5:$B$9,0)-1,5)))</f>
        <v/>
      </c>
      <c r="Q47">
        <f>IF($J47=0,100000,IF(Partecipanti!$B$8=$C47,100000,COUNTIF($S$6:$S46,Partecipanti!$B$8)*100+MOD(4-MATCH($C47,Partecipanti!$B$5:$B$9,0)-1,5)))</f>
        <v/>
      </c>
      <c r="R47">
        <f>IF($K47=0,100000,IF(Partecipanti!$B$9=$C47,100000,COUNTIF($S$6:$S46,Partecipanti!$B$9)*100+MOD(5-MATCH($C47,Partecipanti!$B$5:$B$9,0)-1,5)))</f>
        <v/>
      </c>
      <c r="S47">
        <f>IF(OR($E47=0,$M47=1),"",IF(MIN($N47:$R47)&gt;=100000,"DA ASSEGNARE",INDEX(Partecipanti!$B$5:$B$9,MATCH(MIN($N47:$R47),$N47:$R47,0))))</f>
        <v/>
      </c>
      <c r="T47">
        <f>IF(AND($F47=1,$S47&lt;&gt;"",$S47&lt;&gt;"DA ASSEGNARE"),$S47,"")</f>
        <v/>
      </c>
      <c r="U47">
        <f>IF($M47=1,$L47,IF($E47=0,$C47,$S47))</f>
        <v/>
      </c>
      <c r="V47">
        <f>IF($M47=1,"Recupero",IF($E47=0,"Ordinario",IF($S47="DA ASSEGNARE","DA ASSEGNARE","Sostituzione (doppio turno)")))</f>
        <v/>
      </c>
      <c r="W47">
        <f>IF(OR($M47=1,$E47=1),$C47,"")</f>
        <v/>
      </c>
      <c r="X47">
        <f>IF($M47=1,$L47&amp;" recupera il turno saltato nella settimana "&amp;($A47-1)&amp;"; "&amp;$C47&amp;" a riposo compensativo",IF($E47=1,$C47&amp;" assente ("&amp;$D47&amp;")"&amp;IF($S47="DA ASSEGNARE","; nessun sostituto disponibile","; sostituisce "&amp;$S47&amp;" con doppio turno")&amp;IF($F47=1,"; turno da recuperare nella settimana "&amp;($A47+1),"; turno non da recuperare"),""))</f>
        <v/>
      </c>
      <c r="Y47">
        <f>IF($M47=1,"recupera il turno saltato nella settimana "&amp;($A47-1)&amp;", "&amp;$C47&amp;" a riposo",IF($E47=1,IF($S47="DA ASSEGNARE","turno da assegnare: "&amp;$C47&amp;" assente","in sostituzione di "&amp;$C47&amp;", doppio turno"),""))</f>
        <v/>
      </c>
    </row>
    <row r="48">
      <c r="A48" t="n">
        <v>9</v>
      </c>
      <c r="B48" s="43" t="n">
        <v>46351</v>
      </c>
      <c r="C48">
        <f>Partecipanti!$B$7</f>
        <v/>
      </c>
      <c r="D48">
        <f>IF(COUNTIFS(A_PERS,$C48,A_SETT,$A48,A_TIPO,"Licenza - settimana intera")&gt;0,"Licenza - settimana intera",IF(COUNTIFS(A_PERS,$C48,A_SETT,$A48,A_TIPO,"Attività esterna - settimana intera")&gt;0,"Attività esterna - settimana intera",IF(COUNTIFS(A_PERS,$C48,A_DATA,$B48)&gt;0,INDEX(A_TIPO,MATCH(1,INDEX((A_PERS=$C48)*(A_DATA=$B48),0),0)),"")))</f>
        <v/>
      </c>
      <c r="E48">
        <f>IF($D48="",0,1)</f>
        <v/>
      </c>
      <c r="F48">
        <f>IF($E48=0,0,IF(OR($D48="Licenza - settimana intera",$D48="Attività esterna - settimana intera"),0,1))</f>
        <v/>
      </c>
      <c r="G48">
        <f>IF(COUNTIFS(A_PERS,Partecipanti!$B$5,A_DATA,$B48)+COUNTIFS(A_PERS,Partecipanti!$B$5,A_SETT,$A48,A_TIPO,"Licenza - settimana intera")+COUNTIFS(A_PERS,Partecipanti!$B$5,A_SETT,$A48,A_TIPO,"Attività esterna - settimana intera")&gt;0,0,1)</f>
        <v/>
      </c>
      <c r="H48">
        <f>IF(COUNTIFS(A_PERS,Partecipanti!$B$6,A_DATA,$B48)+COUNTIFS(A_PERS,Partecipanti!$B$6,A_SETT,$A48,A_TIPO,"Licenza - settimana intera")+COUNTIFS(A_PERS,Partecipanti!$B$6,A_SETT,$A48,A_TIPO,"Attività esterna - settimana intera")&gt;0,0,1)</f>
        <v/>
      </c>
      <c r="I48">
        <f>IF(COUNTIFS(A_PERS,Partecipanti!$B$7,A_DATA,$B48)+COUNTIFS(A_PERS,Partecipanti!$B$7,A_SETT,$A48,A_TIPO,"Licenza - settimana intera")+COUNTIFS(A_PERS,Partecipanti!$B$7,A_SETT,$A48,A_TIPO,"Attività esterna - settimana intera")&gt;0,0,1)</f>
        <v/>
      </c>
      <c r="J48">
        <f>IF(COUNTIFS(A_PERS,Partecipanti!$B$8,A_DATA,$B48)+COUNTIFS(A_PERS,Partecipanti!$B$8,A_SETT,$A48,A_TIPO,"Licenza - settimana intera")+COUNTIFS(A_PERS,Partecipanti!$B$8,A_SETT,$A48,A_TIPO,"Attività esterna - settimana intera")&gt;0,0,1)</f>
        <v/>
      </c>
      <c r="K48">
        <f>IF(COUNTIFS(A_PERS,Partecipanti!$B$9,A_DATA,$B48)+COUNTIFS(A_PERS,Partecipanti!$B$9,A_SETT,$A48,A_TIPO,"Licenza - settimana intera")+COUNTIFS(A_PERS,Partecipanti!$B$9,A_SETT,$A48,A_TIPO,"Attività esterna - settimana intera")&gt;0,0,1)</f>
        <v/>
      </c>
      <c r="L48">
        <f>IFERROR(INDEX($C41:$C45,MATCH(1,INDEX(($T41:$T45=$C48)*1,0),0)),"")</f>
        <v/>
      </c>
      <c r="M48">
        <f>IF($L48="",0,IF(INDEX($G48:$K48,MATCH($L48,Partecipanti!$B$5:$B$9,0))=1,1,0))</f>
        <v/>
      </c>
      <c r="N48">
        <f>IF($G48=0,100000,IF(Partecipanti!$B$5=$C48,100000,COUNTIF($S$6:$S47,Partecipanti!$B$5)*100+MOD(1-MATCH($C48,Partecipanti!$B$5:$B$9,0)-1,5)))</f>
        <v/>
      </c>
      <c r="O48">
        <f>IF($H48=0,100000,IF(Partecipanti!$B$6=$C48,100000,COUNTIF($S$6:$S47,Partecipanti!$B$6)*100+MOD(2-MATCH($C48,Partecipanti!$B$5:$B$9,0)-1,5)))</f>
        <v/>
      </c>
      <c r="P48">
        <f>IF($I48=0,100000,IF(Partecipanti!$B$7=$C48,100000,COUNTIF($S$6:$S47,Partecipanti!$B$7)*100+MOD(3-MATCH($C48,Partecipanti!$B$5:$B$9,0)-1,5)))</f>
        <v/>
      </c>
      <c r="Q48">
        <f>IF($J48=0,100000,IF(Partecipanti!$B$8=$C48,100000,COUNTIF($S$6:$S47,Partecipanti!$B$8)*100+MOD(4-MATCH($C48,Partecipanti!$B$5:$B$9,0)-1,5)))</f>
        <v/>
      </c>
      <c r="R48">
        <f>IF($K48=0,100000,IF(Partecipanti!$B$9=$C48,100000,COUNTIF($S$6:$S47,Partecipanti!$B$9)*100+MOD(5-MATCH($C48,Partecipanti!$B$5:$B$9,0)-1,5)))</f>
        <v/>
      </c>
      <c r="S48">
        <f>IF(OR($E48=0,$M48=1),"",IF(MIN($N48:$R48)&gt;=100000,"DA ASSEGNARE",INDEX(Partecipanti!$B$5:$B$9,MATCH(MIN($N48:$R48),$N48:$R48,0))))</f>
        <v/>
      </c>
      <c r="T48">
        <f>IF(AND($F48=1,$S48&lt;&gt;"",$S48&lt;&gt;"DA ASSEGNARE"),$S48,"")</f>
        <v/>
      </c>
      <c r="U48">
        <f>IF($M48=1,$L48,IF($E48=0,$C48,$S48))</f>
        <v/>
      </c>
      <c r="V48">
        <f>IF($M48=1,"Recupero",IF($E48=0,"Ordinario",IF($S48="DA ASSEGNARE","DA ASSEGNARE","Sostituzione (doppio turno)")))</f>
        <v/>
      </c>
      <c r="W48">
        <f>IF(OR($M48=1,$E48=1),$C48,"")</f>
        <v/>
      </c>
      <c r="X48">
        <f>IF($M48=1,$L48&amp;" recupera il turno saltato nella settimana "&amp;($A48-1)&amp;"; "&amp;$C48&amp;" a riposo compensativo",IF($E48=1,$C48&amp;" assente ("&amp;$D48&amp;")"&amp;IF($S48="DA ASSEGNARE","; nessun sostituto disponibile","; sostituisce "&amp;$S48&amp;" con doppio turno")&amp;IF($F48=1,"; turno da recuperare nella settimana "&amp;($A48+1),"; turno non da recuperare"),""))</f>
        <v/>
      </c>
      <c r="Y48">
        <f>IF($M48=1,"recupera il turno saltato nella settimana "&amp;($A48-1)&amp;", "&amp;$C48&amp;" a riposo",IF($E48=1,IF($S48="DA ASSEGNARE","turno da assegnare: "&amp;$C48&amp;" assente","in sostituzione di "&amp;$C48&amp;", doppio turno"),""))</f>
        <v/>
      </c>
    </row>
    <row r="49">
      <c r="A49" t="n">
        <v>9</v>
      </c>
      <c r="B49" s="43" t="n">
        <v>46352</v>
      </c>
      <c r="C49">
        <f>Partecipanti!$B$8</f>
        <v/>
      </c>
      <c r="D49">
        <f>IF(COUNTIFS(A_PERS,$C49,A_SETT,$A49,A_TIPO,"Licenza - settimana intera")&gt;0,"Licenza - settimana intera",IF(COUNTIFS(A_PERS,$C49,A_SETT,$A49,A_TIPO,"Attività esterna - settimana intera")&gt;0,"Attività esterna - settimana intera",IF(COUNTIFS(A_PERS,$C49,A_DATA,$B49)&gt;0,INDEX(A_TIPO,MATCH(1,INDEX((A_PERS=$C49)*(A_DATA=$B49),0),0)),"")))</f>
        <v/>
      </c>
      <c r="E49">
        <f>IF($D49="",0,1)</f>
        <v/>
      </c>
      <c r="F49">
        <f>IF($E49=0,0,IF(OR($D49="Licenza - settimana intera",$D49="Attività esterna - settimana intera"),0,1))</f>
        <v/>
      </c>
      <c r="G49">
        <f>IF(COUNTIFS(A_PERS,Partecipanti!$B$5,A_DATA,$B49)+COUNTIFS(A_PERS,Partecipanti!$B$5,A_SETT,$A49,A_TIPO,"Licenza - settimana intera")+COUNTIFS(A_PERS,Partecipanti!$B$5,A_SETT,$A49,A_TIPO,"Attività esterna - settimana intera")&gt;0,0,1)</f>
        <v/>
      </c>
      <c r="H49">
        <f>IF(COUNTIFS(A_PERS,Partecipanti!$B$6,A_DATA,$B49)+COUNTIFS(A_PERS,Partecipanti!$B$6,A_SETT,$A49,A_TIPO,"Licenza - settimana intera")+COUNTIFS(A_PERS,Partecipanti!$B$6,A_SETT,$A49,A_TIPO,"Attività esterna - settimana intera")&gt;0,0,1)</f>
        <v/>
      </c>
      <c r="I49">
        <f>IF(COUNTIFS(A_PERS,Partecipanti!$B$7,A_DATA,$B49)+COUNTIFS(A_PERS,Partecipanti!$B$7,A_SETT,$A49,A_TIPO,"Licenza - settimana intera")+COUNTIFS(A_PERS,Partecipanti!$B$7,A_SETT,$A49,A_TIPO,"Attività esterna - settimana intera")&gt;0,0,1)</f>
        <v/>
      </c>
      <c r="J49">
        <f>IF(COUNTIFS(A_PERS,Partecipanti!$B$8,A_DATA,$B49)+COUNTIFS(A_PERS,Partecipanti!$B$8,A_SETT,$A49,A_TIPO,"Licenza - settimana intera")+COUNTIFS(A_PERS,Partecipanti!$B$8,A_SETT,$A49,A_TIPO,"Attività esterna - settimana intera")&gt;0,0,1)</f>
        <v/>
      </c>
      <c r="K49">
        <f>IF(COUNTIFS(A_PERS,Partecipanti!$B$9,A_DATA,$B49)+COUNTIFS(A_PERS,Partecipanti!$B$9,A_SETT,$A49,A_TIPO,"Licenza - settimana intera")+COUNTIFS(A_PERS,Partecipanti!$B$9,A_SETT,$A49,A_TIPO,"Attività esterna - settimana intera")&gt;0,0,1)</f>
        <v/>
      </c>
      <c r="L49">
        <f>IFERROR(INDEX($C41:$C45,MATCH(1,INDEX(($T41:$T45=$C49)*1,0),0)),"")</f>
        <v/>
      </c>
      <c r="M49">
        <f>IF($L49="",0,IF(INDEX($G49:$K49,MATCH($L49,Partecipanti!$B$5:$B$9,0))=1,1,0))</f>
        <v/>
      </c>
      <c r="N49">
        <f>IF($G49=0,100000,IF(Partecipanti!$B$5=$C49,100000,COUNTIF($S$6:$S48,Partecipanti!$B$5)*100+MOD(1-MATCH($C49,Partecipanti!$B$5:$B$9,0)-1,5)))</f>
        <v/>
      </c>
      <c r="O49">
        <f>IF($H49=0,100000,IF(Partecipanti!$B$6=$C49,100000,COUNTIF($S$6:$S48,Partecipanti!$B$6)*100+MOD(2-MATCH($C49,Partecipanti!$B$5:$B$9,0)-1,5)))</f>
        <v/>
      </c>
      <c r="P49">
        <f>IF($I49=0,100000,IF(Partecipanti!$B$7=$C49,100000,COUNTIF($S$6:$S48,Partecipanti!$B$7)*100+MOD(3-MATCH($C49,Partecipanti!$B$5:$B$9,0)-1,5)))</f>
        <v/>
      </c>
      <c r="Q49">
        <f>IF($J49=0,100000,IF(Partecipanti!$B$8=$C49,100000,COUNTIF($S$6:$S48,Partecipanti!$B$8)*100+MOD(4-MATCH($C49,Partecipanti!$B$5:$B$9,0)-1,5)))</f>
        <v/>
      </c>
      <c r="R49">
        <f>IF($K49=0,100000,IF(Partecipanti!$B$9=$C49,100000,COUNTIF($S$6:$S48,Partecipanti!$B$9)*100+MOD(5-MATCH($C49,Partecipanti!$B$5:$B$9,0)-1,5)))</f>
        <v/>
      </c>
      <c r="S49">
        <f>IF(OR($E49=0,$M49=1),"",IF(MIN($N49:$R49)&gt;=100000,"DA ASSEGNARE",INDEX(Partecipanti!$B$5:$B$9,MATCH(MIN($N49:$R49),$N49:$R49,0))))</f>
        <v/>
      </c>
      <c r="T49">
        <f>IF(AND($F49=1,$S49&lt;&gt;"",$S49&lt;&gt;"DA ASSEGNARE"),$S49,"")</f>
        <v/>
      </c>
      <c r="U49">
        <f>IF($M49=1,$L49,IF($E49=0,$C49,$S49))</f>
        <v/>
      </c>
      <c r="V49">
        <f>IF($M49=1,"Recupero",IF($E49=0,"Ordinario",IF($S49="DA ASSEGNARE","DA ASSEGNARE","Sostituzione (doppio turno)")))</f>
        <v/>
      </c>
      <c r="W49">
        <f>IF(OR($M49=1,$E49=1),$C49,"")</f>
        <v/>
      </c>
      <c r="X49">
        <f>IF($M49=1,$L49&amp;" recupera il turno saltato nella settimana "&amp;($A49-1)&amp;"; "&amp;$C49&amp;" a riposo compensativo",IF($E49=1,$C49&amp;" assente ("&amp;$D49&amp;")"&amp;IF($S49="DA ASSEGNARE","; nessun sostituto disponibile","; sostituisce "&amp;$S49&amp;" con doppio turno")&amp;IF($F49=1,"; turno da recuperare nella settimana "&amp;($A49+1),"; turno non da recuperare"),""))</f>
        <v/>
      </c>
      <c r="Y49">
        <f>IF($M49=1,"recupera il turno saltato nella settimana "&amp;($A49-1)&amp;", "&amp;$C49&amp;" a riposo",IF($E49=1,IF($S49="DA ASSEGNARE","turno da assegnare: "&amp;$C49&amp;" assente","in sostituzione di "&amp;$C49&amp;", doppio turno"),""))</f>
        <v/>
      </c>
    </row>
    <row r="50">
      <c r="A50" t="n">
        <v>9</v>
      </c>
      <c r="B50" s="43" t="n">
        <v>46353</v>
      </c>
      <c r="C50">
        <f>Partecipanti!$B$9</f>
        <v/>
      </c>
      <c r="D50">
        <f>IF(COUNTIFS(A_PERS,$C50,A_SETT,$A50,A_TIPO,"Licenza - settimana intera")&gt;0,"Licenza - settimana intera",IF(COUNTIFS(A_PERS,$C50,A_SETT,$A50,A_TIPO,"Attività esterna - settimana intera")&gt;0,"Attività esterna - settimana intera",IF(COUNTIFS(A_PERS,$C50,A_DATA,$B50)&gt;0,INDEX(A_TIPO,MATCH(1,INDEX((A_PERS=$C50)*(A_DATA=$B50),0),0)),"")))</f>
        <v/>
      </c>
      <c r="E50">
        <f>IF($D50="",0,1)</f>
        <v/>
      </c>
      <c r="F50">
        <f>IF($E50=0,0,IF(OR($D50="Licenza - settimana intera",$D50="Attività esterna - settimana intera"),0,1))</f>
        <v/>
      </c>
      <c r="G50">
        <f>IF(COUNTIFS(A_PERS,Partecipanti!$B$5,A_DATA,$B50)+COUNTIFS(A_PERS,Partecipanti!$B$5,A_SETT,$A50,A_TIPO,"Licenza - settimana intera")+COUNTIFS(A_PERS,Partecipanti!$B$5,A_SETT,$A50,A_TIPO,"Attività esterna - settimana intera")&gt;0,0,1)</f>
        <v/>
      </c>
      <c r="H50">
        <f>IF(COUNTIFS(A_PERS,Partecipanti!$B$6,A_DATA,$B50)+COUNTIFS(A_PERS,Partecipanti!$B$6,A_SETT,$A50,A_TIPO,"Licenza - settimana intera")+COUNTIFS(A_PERS,Partecipanti!$B$6,A_SETT,$A50,A_TIPO,"Attività esterna - settimana intera")&gt;0,0,1)</f>
        <v/>
      </c>
      <c r="I50">
        <f>IF(COUNTIFS(A_PERS,Partecipanti!$B$7,A_DATA,$B50)+COUNTIFS(A_PERS,Partecipanti!$B$7,A_SETT,$A50,A_TIPO,"Licenza - settimana intera")+COUNTIFS(A_PERS,Partecipanti!$B$7,A_SETT,$A50,A_TIPO,"Attività esterna - settimana intera")&gt;0,0,1)</f>
        <v/>
      </c>
      <c r="J50">
        <f>IF(COUNTIFS(A_PERS,Partecipanti!$B$8,A_DATA,$B50)+COUNTIFS(A_PERS,Partecipanti!$B$8,A_SETT,$A50,A_TIPO,"Licenza - settimana intera")+COUNTIFS(A_PERS,Partecipanti!$B$8,A_SETT,$A50,A_TIPO,"Attività esterna - settimana intera")&gt;0,0,1)</f>
        <v/>
      </c>
      <c r="K50">
        <f>IF(COUNTIFS(A_PERS,Partecipanti!$B$9,A_DATA,$B50)+COUNTIFS(A_PERS,Partecipanti!$B$9,A_SETT,$A50,A_TIPO,"Licenza - settimana intera")+COUNTIFS(A_PERS,Partecipanti!$B$9,A_SETT,$A50,A_TIPO,"Attività esterna - settimana intera")&gt;0,0,1)</f>
        <v/>
      </c>
      <c r="L50">
        <f>IFERROR(INDEX($C41:$C45,MATCH(1,INDEX(($T41:$T45=$C50)*1,0),0)),"")</f>
        <v/>
      </c>
      <c r="M50">
        <f>IF($L50="",0,IF(INDEX($G50:$K50,MATCH($L50,Partecipanti!$B$5:$B$9,0))=1,1,0))</f>
        <v/>
      </c>
      <c r="N50">
        <f>IF($G50=0,100000,IF(Partecipanti!$B$5=$C50,100000,COUNTIF($S$6:$S49,Partecipanti!$B$5)*100+MOD(1-MATCH($C50,Partecipanti!$B$5:$B$9,0)-1,5)))</f>
        <v/>
      </c>
      <c r="O50">
        <f>IF($H50=0,100000,IF(Partecipanti!$B$6=$C50,100000,COUNTIF($S$6:$S49,Partecipanti!$B$6)*100+MOD(2-MATCH($C50,Partecipanti!$B$5:$B$9,0)-1,5)))</f>
        <v/>
      </c>
      <c r="P50">
        <f>IF($I50=0,100000,IF(Partecipanti!$B$7=$C50,100000,COUNTIF($S$6:$S49,Partecipanti!$B$7)*100+MOD(3-MATCH($C50,Partecipanti!$B$5:$B$9,0)-1,5)))</f>
        <v/>
      </c>
      <c r="Q50">
        <f>IF($J50=0,100000,IF(Partecipanti!$B$8=$C50,100000,COUNTIF($S$6:$S49,Partecipanti!$B$8)*100+MOD(4-MATCH($C50,Partecipanti!$B$5:$B$9,0)-1,5)))</f>
        <v/>
      </c>
      <c r="R50">
        <f>IF($K50=0,100000,IF(Partecipanti!$B$9=$C50,100000,COUNTIF($S$6:$S49,Partecipanti!$B$9)*100+MOD(5-MATCH($C50,Partecipanti!$B$5:$B$9,0)-1,5)))</f>
        <v/>
      </c>
      <c r="S50">
        <f>IF(OR($E50=0,$M50=1),"",IF(MIN($N50:$R50)&gt;=100000,"DA ASSEGNARE",INDEX(Partecipanti!$B$5:$B$9,MATCH(MIN($N50:$R50),$N50:$R50,0))))</f>
        <v/>
      </c>
      <c r="T50">
        <f>IF(AND($F50=1,$S50&lt;&gt;"",$S50&lt;&gt;"DA ASSEGNARE"),$S50,"")</f>
        <v/>
      </c>
      <c r="U50">
        <f>IF($M50=1,$L50,IF($E50=0,$C50,$S50))</f>
        <v/>
      </c>
      <c r="V50">
        <f>IF($M50=1,"Recupero",IF($E50=0,"Ordinario",IF($S50="DA ASSEGNARE","DA ASSEGNARE","Sostituzione (doppio turno)")))</f>
        <v/>
      </c>
      <c r="W50">
        <f>IF(OR($M50=1,$E50=1),$C50,"")</f>
        <v/>
      </c>
      <c r="X50">
        <f>IF($M50=1,$L50&amp;" recupera il turno saltato nella settimana "&amp;($A50-1)&amp;"; "&amp;$C50&amp;" a riposo compensativo",IF($E50=1,$C50&amp;" assente ("&amp;$D50&amp;")"&amp;IF($S50="DA ASSEGNARE","; nessun sostituto disponibile","; sostituisce "&amp;$S50&amp;" con doppio turno")&amp;IF($F50=1,"; turno da recuperare nella settimana "&amp;($A50+1),"; turno non da recuperare"),""))</f>
        <v/>
      </c>
      <c r="Y50">
        <f>IF($M50=1,"recupera il turno saltato nella settimana "&amp;($A50-1)&amp;", "&amp;$C50&amp;" a riposo",IF($E50=1,IF($S50="DA ASSEGNARE","turno da assegnare: "&amp;$C50&amp;" assente","in sostituzione di "&amp;$C50&amp;", doppio turno"),""))</f>
        <v/>
      </c>
    </row>
    <row r="51">
      <c r="A51" t="n">
        <v>10</v>
      </c>
      <c r="B51" s="43" t="n">
        <v>46356</v>
      </c>
      <c r="C51">
        <f>Partecipanti!$B$5</f>
        <v/>
      </c>
      <c r="D51">
        <f>IF(COUNTIFS(A_PERS,$C51,A_SETT,$A51,A_TIPO,"Licenza - settimana intera")&gt;0,"Licenza - settimana intera",IF(COUNTIFS(A_PERS,$C51,A_SETT,$A51,A_TIPO,"Attività esterna - settimana intera")&gt;0,"Attività esterna - settimana intera",IF(COUNTIFS(A_PERS,$C51,A_DATA,$B51)&gt;0,INDEX(A_TIPO,MATCH(1,INDEX((A_PERS=$C51)*(A_DATA=$B51),0),0)),"")))</f>
        <v/>
      </c>
      <c r="E51">
        <f>IF($D51="",0,1)</f>
        <v/>
      </c>
      <c r="F51">
        <f>IF($E51=0,0,IF(OR($D51="Licenza - settimana intera",$D51="Attività esterna - settimana intera"),0,1))</f>
        <v/>
      </c>
      <c r="G51">
        <f>IF(COUNTIFS(A_PERS,Partecipanti!$B$5,A_DATA,$B51)+COUNTIFS(A_PERS,Partecipanti!$B$5,A_SETT,$A51,A_TIPO,"Licenza - settimana intera")+COUNTIFS(A_PERS,Partecipanti!$B$5,A_SETT,$A51,A_TIPO,"Attività esterna - settimana intera")&gt;0,0,1)</f>
        <v/>
      </c>
      <c r="H51">
        <f>IF(COUNTIFS(A_PERS,Partecipanti!$B$6,A_DATA,$B51)+COUNTIFS(A_PERS,Partecipanti!$B$6,A_SETT,$A51,A_TIPO,"Licenza - settimana intera")+COUNTIFS(A_PERS,Partecipanti!$B$6,A_SETT,$A51,A_TIPO,"Attività esterna - settimana intera")&gt;0,0,1)</f>
        <v/>
      </c>
      <c r="I51">
        <f>IF(COUNTIFS(A_PERS,Partecipanti!$B$7,A_DATA,$B51)+COUNTIFS(A_PERS,Partecipanti!$B$7,A_SETT,$A51,A_TIPO,"Licenza - settimana intera")+COUNTIFS(A_PERS,Partecipanti!$B$7,A_SETT,$A51,A_TIPO,"Attività esterna - settimana intera")&gt;0,0,1)</f>
        <v/>
      </c>
      <c r="J51">
        <f>IF(COUNTIFS(A_PERS,Partecipanti!$B$8,A_DATA,$B51)+COUNTIFS(A_PERS,Partecipanti!$B$8,A_SETT,$A51,A_TIPO,"Licenza - settimana intera")+COUNTIFS(A_PERS,Partecipanti!$B$8,A_SETT,$A51,A_TIPO,"Attività esterna - settimana intera")&gt;0,0,1)</f>
        <v/>
      </c>
      <c r="K51">
        <f>IF(COUNTIFS(A_PERS,Partecipanti!$B$9,A_DATA,$B51)+COUNTIFS(A_PERS,Partecipanti!$B$9,A_SETT,$A51,A_TIPO,"Licenza - settimana intera")+COUNTIFS(A_PERS,Partecipanti!$B$9,A_SETT,$A51,A_TIPO,"Attività esterna - settimana intera")&gt;0,0,1)</f>
        <v/>
      </c>
      <c r="L51">
        <f>IFERROR(INDEX($C46:$C50,MATCH(1,INDEX(($T46:$T50=$C51)*1,0),0)),"")</f>
        <v/>
      </c>
      <c r="M51">
        <f>IF($L51="",0,IF(INDEX($G51:$K51,MATCH($L51,Partecipanti!$B$5:$B$9,0))=1,1,0))</f>
        <v/>
      </c>
      <c r="N51">
        <f>IF($G51=0,100000,IF(Partecipanti!$B$5=$C51,100000,COUNTIF($S$6:$S50,Partecipanti!$B$5)*100+MOD(1-MATCH($C51,Partecipanti!$B$5:$B$9,0)-1,5)))</f>
        <v/>
      </c>
      <c r="O51">
        <f>IF($H51=0,100000,IF(Partecipanti!$B$6=$C51,100000,COUNTIF($S$6:$S50,Partecipanti!$B$6)*100+MOD(2-MATCH($C51,Partecipanti!$B$5:$B$9,0)-1,5)))</f>
        <v/>
      </c>
      <c r="P51">
        <f>IF($I51=0,100000,IF(Partecipanti!$B$7=$C51,100000,COUNTIF($S$6:$S50,Partecipanti!$B$7)*100+MOD(3-MATCH($C51,Partecipanti!$B$5:$B$9,0)-1,5)))</f>
        <v/>
      </c>
      <c r="Q51">
        <f>IF($J51=0,100000,IF(Partecipanti!$B$8=$C51,100000,COUNTIF($S$6:$S50,Partecipanti!$B$8)*100+MOD(4-MATCH($C51,Partecipanti!$B$5:$B$9,0)-1,5)))</f>
        <v/>
      </c>
      <c r="R51">
        <f>IF($K51=0,100000,IF(Partecipanti!$B$9=$C51,100000,COUNTIF($S$6:$S50,Partecipanti!$B$9)*100+MOD(5-MATCH($C51,Partecipanti!$B$5:$B$9,0)-1,5)))</f>
        <v/>
      </c>
      <c r="S51">
        <f>IF(OR($E51=0,$M51=1),"",IF(MIN($N51:$R51)&gt;=100000,"DA ASSEGNARE",INDEX(Partecipanti!$B$5:$B$9,MATCH(MIN($N51:$R51),$N51:$R51,0))))</f>
        <v/>
      </c>
      <c r="T51">
        <f>IF(AND($F51=1,$S51&lt;&gt;"",$S51&lt;&gt;"DA ASSEGNARE"),$S51,"")</f>
        <v/>
      </c>
      <c r="U51">
        <f>IF($M51=1,$L51,IF($E51=0,$C51,$S51))</f>
        <v/>
      </c>
      <c r="V51">
        <f>IF($M51=1,"Recupero",IF($E51=0,"Ordinario",IF($S51="DA ASSEGNARE","DA ASSEGNARE","Sostituzione (doppio turno)")))</f>
        <v/>
      </c>
      <c r="W51">
        <f>IF(OR($M51=1,$E51=1),$C51,"")</f>
        <v/>
      </c>
      <c r="X51">
        <f>IF($M51=1,$L51&amp;" recupera il turno saltato nella settimana "&amp;($A51-1)&amp;"; "&amp;$C51&amp;" a riposo compensativo",IF($E51=1,$C51&amp;" assente ("&amp;$D51&amp;")"&amp;IF($S51="DA ASSEGNARE","; nessun sostituto disponibile","; sostituisce "&amp;$S51&amp;" con doppio turno")&amp;IF($F51=1,"; turno da recuperare nella settimana "&amp;($A51+1),"; turno non da recuperare"),""))</f>
        <v/>
      </c>
      <c r="Y51">
        <f>IF($M51=1,"recupera il turno saltato nella settimana "&amp;($A51-1)&amp;", "&amp;$C51&amp;" a riposo",IF($E51=1,IF($S51="DA ASSEGNARE","turno da assegnare: "&amp;$C51&amp;" assente","in sostituzione di "&amp;$C51&amp;", doppio turno"),""))</f>
        <v/>
      </c>
    </row>
    <row r="52">
      <c r="A52" t="n">
        <v>10</v>
      </c>
      <c r="B52" s="43" t="n">
        <v>46357</v>
      </c>
      <c r="C52">
        <f>Partecipanti!$B$6</f>
        <v/>
      </c>
      <c r="D52">
        <f>IF(COUNTIFS(A_PERS,$C52,A_SETT,$A52,A_TIPO,"Licenza - settimana intera")&gt;0,"Licenza - settimana intera",IF(COUNTIFS(A_PERS,$C52,A_SETT,$A52,A_TIPO,"Attività esterna - settimana intera")&gt;0,"Attività esterna - settimana intera",IF(COUNTIFS(A_PERS,$C52,A_DATA,$B52)&gt;0,INDEX(A_TIPO,MATCH(1,INDEX((A_PERS=$C52)*(A_DATA=$B52),0),0)),"")))</f>
        <v/>
      </c>
      <c r="E52">
        <f>IF($D52="",0,1)</f>
        <v/>
      </c>
      <c r="F52">
        <f>IF($E52=0,0,IF(OR($D52="Licenza - settimana intera",$D52="Attività esterna - settimana intera"),0,1))</f>
        <v/>
      </c>
      <c r="G52">
        <f>IF(COUNTIFS(A_PERS,Partecipanti!$B$5,A_DATA,$B52)+COUNTIFS(A_PERS,Partecipanti!$B$5,A_SETT,$A52,A_TIPO,"Licenza - settimana intera")+COUNTIFS(A_PERS,Partecipanti!$B$5,A_SETT,$A52,A_TIPO,"Attività esterna - settimana intera")&gt;0,0,1)</f>
        <v/>
      </c>
      <c r="H52">
        <f>IF(COUNTIFS(A_PERS,Partecipanti!$B$6,A_DATA,$B52)+COUNTIFS(A_PERS,Partecipanti!$B$6,A_SETT,$A52,A_TIPO,"Licenza - settimana intera")+COUNTIFS(A_PERS,Partecipanti!$B$6,A_SETT,$A52,A_TIPO,"Attività esterna - settimana intera")&gt;0,0,1)</f>
        <v/>
      </c>
      <c r="I52">
        <f>IF(COUNTIFS(A_PERS,Partecipanti!$B$7,A_DATA,$B52)+COUNTIFS(A_PERS,Partecipanti!$B$7,A_SETT,$A52,A_TIPO,"Licenza - settimana intera")+COUNTIFS(A_PERS,Partecipanti!$B$7,A_SETT,$A52,A_TIPO,"Attività esterna - settimana intera")&gt;0,0,1)</f>
        <v/>
      </c>
      <c r="J52">
        <f>IF(COUNTIFS(A_PERS,Partecipanti!$B$8,A_DATA,$B52)+COUNTIFS(A_PERS,Partecipanti!$B$8,A_SETT,$A52,A_TIPO,"Licenza - settimana intera")+COUNTIFS(A_PERS,Partecipanti!$B$8,A_SETT,$A52,A_TIPO,"Attività esterna - settimana intera")&gt;0,0,1)</f>
        <v/>
      </c>
      <c r="K52">
        <f>IF(COUNTIFS(A_PERS,Partecipanti!$B$9,A_DATA,$B52)+COUNTIFS(A_PERS,Partecipanti!$B$9,A_SETT,$A52,A_TIPO,"Licenza - settimana intera")+COUNTIFS(A_PERS,Partecipanti!$B$9,A_SETT,$A52,A_TIPO,"Attività esterna - settimana intera")&gt;0,0,1)</f>
        <v/>
      </c>
      <c r="L52">
        <f>IFERROR(INDEX($C46:$C50,MATCH(1,INDEX(($T46:$T50=$C52)*1,0),0)),"")</f>
        <v/>
      </c>
      <c r="M52">
        <f>IF($L52="",0,IF(INDEX($G52:$K52,MATCH($L52,Partecipanti!$B$5:$B$9,0))=1,1,0))</f>
        <v/>
      </c>
      <c r="N52">
        <f>IF($G52=0,100000,IF(Partecipanti!$B$5=$C52,100000,COUNTIF($S$6:$S51,Partecipanti!$B$5)*100+MOD(1-MATCH($C52,Partecipanti!$B$5:$B$9,0)-1,5)))</f>
        <v/>
      </c>
      <c r="O52">
        <f>IF($H52=0,100000,IF(Partecipanti!$B$6=$C52,100000,COUNTIF($S$6:$S51,Partecipanti!$B$6)*100+MOD(2-MATCH($C52,Partecipanti!$B$5:$B$9,0)-1,5)))</f>
        <v/>
      </c>
      <c r="P52">
        <f>IF($I52=0,100000,IF(Partecipanti!$B$7=$C52,100000,COUNTIF($S$6:$S51,Partecipanti!$B$7)*100+MOD(3-MATCH($C52,Partecipanti!$B$5:$B$9,0)-1,5)))</f>
        <v/>
      </c>
      <c r="Q52">
        <f>IF($J52=0,100000,IF(Partecipanti!$B$8=$C52,100000,COUNTIF($S$6:$S51,Partecipanti!$B$8)*100+MOD(4-MATCH($C52,Partecipanti!$B$5:$B$9,0)-1,5)))</f>
        <v/>
      </c>
      <c r="R52">
        <f>IF($K52=0,100000,IF(Partecipanti!$B$9=$C52,100000,COUNTIF($S$6:$S51,Partecipanti!$B$9)*100+MOD(5-MATCH($C52,Partecipanti!$B$5:$B$9,0)-1,5)))</f>
        <v/>
      </c>
      <c r="S52">
        <f>IF(OR($E52=0,$M52=1),"",IF(MIN($N52:$R52)&gt;=100000,"DA ASSEGNARE",INDEX(Partecipanti!$B$5:$B$9,MATCH(MIN($N52:$R52),$N52:$R52,0))))</f>
        <v/>
      </c>
      <c r="T52">
        <f>IF(AND($F52=1,$S52&lt;&gt;"",$S52&lt;&gt;"DA ASSEGNARE"),$S52,"")</f>
        <v/>
      </c>
      <c r="U52">
        <f>IF($M52=1,$L52,IF($E52=0,$C52,$S52))</f>
        <v/>
      </c>
      <c r="V52">
        <f>IF($M52=1,"Recupero",IF($E52=0,"Ordinario",IF($S52="DA ASSEGNARE","DA ASSEGNARE","Sostituzione (doppio turno)")))</f>
        <v/>
      </c>
      <c r="W52">
        <f>IF(OR($M52=1,$E52=1),$C52,"")</f>
        <v/>
      </c>
      <c r="X52">
        <f>IF($M52=1,$L52&amp;" recupera il turno saltato nella settimana "&amp;($A52-1)&amp;"; "&amp;$C52&amp;" a riposo compensativo",IF($E52=1,$C52&amp;" assente ("&amp;$D52&amp;")"&amp;IF($S52="DA ASSEGNARE","; nessun sostituto disponibile","; sostituisce "&amp;$S52&amp;" con doppio turno")&amp;IF($F52=1,"; turno da recuperare nella settimana "&amp;($A52+1),"; turno non da recuperare"),""))</f>
        <v/>
      </c>
      <c r="Y52">
        <f>IF($M52=1,"recupera il turno saltato nella settimana "&amp;($A52-1)&amp;", "&amp;$C52&amp;" a riposo",IF($E52=1,IF($S52="DA ASSEGNARE","turno da assegnare: "&amp;$C52&amp;" assente","in sostituzione di "&amp;$C52&amp;", doppio turno"),""))</f>
        <v/>
      </c>
    </row>
    <row r="53">
      <c r="A53" t="n">
        <v>10</v>
      </c>
      <c r="B53" s="43" t="n">
        <v>46358</v>
      </c>
      <c r="C53">
        <f>Partecipanti!$B$7</f>
        <v/>
      </c>
      <c r="D53">
        <f>IF(COUNTIFS(A_PERS,$C53,A_SETT,$A53,A_TIPO,"Licenza - settimana intera")&gt;0,"Licenza - settimana intera",IF(COUNTIFS(A_PERS,$C53,A_SETT,$A53,A_TIPO,"Attività esterna - settimana intera")&gt;0,"Attività esterna - settimana intera",IF(COUNTIFS(A_PERS,$C53,A_DATA,$B53)&gt;0,INDEX(A_TIPO,MATCH(1,INDEX((A_PERS=$C53)*(A_DATA=$B53),0),0)),"")))</f>
        <v/>
      </c>
      <c r="E53">
        <f>IF($D53="",0,1)</f>
        <v/>
      </c>
      <c r="F53">
        <f>IF($E53=0,0,IF(OR($D53="Licenza - settimana intera",$D53="Attività esterna - settimana intera"),0,1))</f>
        <v/>
      </c>
      <c r="G53">
        <f>IF(COUNTIFS(A_PERS,Partecipanti!$B$5,A_DATA,$B53)+COUNTIFS(A_PERS,Partecipanti!$B$5,A_SETT,$A53,A_TIPO,"Licenza - settimana intera")+COUNTIFS(A_PERS,Partecipanti!$B$5,A_SETT,$A53,A_TIPO,"Attività esterna - settimana intera")&gt;0,0,1)</f>
        <v/>
      </c>
      <c r="H53">
        <f>IF(COUNTIFS(A_PERS,Partecipanti!$B$6,A_DATA,$B53)+COUNTIFS(A_PERS,Partecipanti!$B$6,A_SETT,$A53,A_TIPO,"Licenza - settimana intera")+COUNTIFS(A_PERS,Partecipanti!$B$6,A_SETT,$A53,A_TIPO,"Attività esterna - settimana intera")&gt;0,0,1)</f>
        <v/>
      </c>
      <c r="I53">
        <f>IF(COUNTIFS(A_PERS,Partecipanti!$B$7,A_DATA,$B53)+COUNTIFS(A_PERS,Partecipanti!$B$7,A_SETT,$A53,A_TIPO,"Licenza - settimana intera")+COUNTIFS(A_PERS,Partecipanti!$B$7,A_SETT,$A53,A_TIPO,"Attività esterna - settimana intera")&gt;0,0,1)</f>
        <v/>
      </c>
      <c r="J53">
        <f>IF(COUNTIFS(A_PERS,Partecipanti!$B$8,A_DATA,$B53)+COUNTIFS(A_PERS,Partecipanti!$B$8,A_SETT,$A53,A_TIPO,"Licenza - settimana intera")+COUNTIFS(A_PERS,Partecipanti!$B$8,A_SETT,$A53,A_TIPO,"Attività esterna - settimana intera")&gt;0,0,1)</f>
        <v/>
      </c>
      <c r="K53">
        <f>IF(COUNTIFS(A_PERS,Partecipanti!$B$9,A_DATA,$B53)+COUNTIFS(A_PERS,Partecipanti!$B$9,A_SETT,$A53,A_TIPO,"Licenza - settimana intera")+COUNTIFS(A_PERS,Partecipanti!$B$9,A_SETT,$A53,A_TIPO,"Attività esterna - settimana intera")&gt;0,0,1)</f>
        <v/>
      </c>
      <c r="L53">
        <f>IFERROR(INDEX($C46:$C50,MATCH(1,INDEX(($T46:$T50=$C53)*1,0),0)),"")</f>
        <v/>
      </c>
      <c r="M53">
        <f>IF($L53="",0,IF(INDEX($G53:$K53,MATCH($L53,Partecipanti!$B$5:$B$9,0))=1,1,0))</f>
        <v/>
      </c>
      <c r="N53">
        <f>IF($G53=0,100000,IF(Partecipanti!$B$5=$C53,100000,COUNTIF($S$6:$S52,Partecipanti!$B$5)*100+MOD(1-MATCH($C53,Partecipanti!$B$5:$B$9,0)-1,5)))</f>
        <v/>
      </c>
      <c r="O53">
        <f>IF($H53=0,100000,IF(Partecipanti!$B$6=$C53,100000,COUNTIF($S$6:$S52,Partecipanti!$B$6)*100+MOD(2-MATCH($C53,Partecipanti!$B$5:$B$9,0)-1,5)))</f>
        <v/>
      </c>
      <c r="P53">
        <f>IF($I53=0,100000,IF(Partecipanti!$B$7=$C53,100000,COUNTIF($S$6:$S52,Partecipanti!$B$7)*100+MOD(3-MATCH($C53,Partecipanti!$B$5:$B$9,0)-1,5)))</f>
        <v/>
      </c>
      <c r="Q53">
        <f>IF($J53=0,100000,IF(Partecipanti!$B$8=$C53,100000,COUNTIF($S$6:$S52,Partecipanti!$B$8)*100+MOD(4-MATCH($C53,Partecipanti!$B$5:$B$9,0)-1,5)))</f>
        <v/>
      </c>
      <c r="R53">
        <f>IF($K53=0,100000,IF(Partecipanti!$B$9=$C53,100000,COUNTIF($S$6:$S52,Partecipanti!$B$9)*100+MOD(5-MATCH($C53,Partecipanti!$B$5:$B$9,0)-1,5)))</f>
        <v/>
      </c>
      <c r="S53">
        <f>IF(OR($E53=0,$M53=1),"",IF(MIN($N53:$R53)&gt;=100000,"DA ASSEGNARE",INDEX(Partecipanti!$B$5:$B$9,MATCH(MIN($N53:$R53),$N53:$R53,0))))</f>
        <v/>
      </c>
      <c r="T53">
        <f>IF(AND($F53=1,$S53&lt;&gt;"",$S53&lt;&gt;"DA ASSEGNARE"),$S53,"")</f>
        <v/>
      </c>
      <c r="U53">
        <f>IF($M53=1,$L53,IF($E53=0,$C53,$S53))</f>
        <v/>
      </c>
      <c r="V53">
        <f>IF($M53=1,"Recupero",IF($E53=0,"Ordinario",IF($S53="DA ASSEGNARE","DA ASSEGNARE","Sostituzione (doppio turno)")))</f>
        <v/>
      </c>
      <c r="W53">
        <f>IF(OR($M53=1,$E53=1),$C53,"")</f>
        <v/>
      </c>
      <c r="X53">
        <f>IF($M53=1,$L53&amp;" recupera il turno saltato nella settimana "&amp;($A53-1)&amp;"; "&amp;$C53&amp;" a riposo compensativo",IF($E53=1,$C53&amp;" assente ("&amp;$D53&amp;")"&amp;IF($S53="DA ASSEGNARE","; nessun sostituto disponibile","; sostituisce "&amp;$S53&amp;" con doppio turno")&amp;IF($F53=1,"; turno da recuperare nella settimana "&amp;($A53+1),"; turno non da recuperare"),""))</f>
        <v/>
      </c>
      <c r="Y53">
        <f>IF($M53=1,"recupera il turno saltato nella settimana "&amp;($A53-1)&amp;", "&amp;$C53&amp;" a riposo",IF($E53=1,IF($S53="DA ASSEGNARE","turno da assegnare: "&amp;$C53&amp;" assente","in sostituzione di "&amp;$C53&amp;", doppio turno"),""))</f>
        <v/>
      </c>
    </row>
    <row r="54">
      <c r="A54" t="n">
        <v>10</v>
      </c>
      <c r="B54" s="43" t="n">
        <v>46359</v>
      </c>
      <c r="C54">
        <f>Partecipanti!$B$8</f>
        <v/>
      </c>
      <c r="D54">
        <f>IF(COUNTIFS(A_PERS,$C54,A_SETT,$A54,A_TIPO,"Licenza - settimana intera")&gt;0,"Licenza - settimana intera",IF(COUNTIFS(A_PERS,$C54,A_SETT,$A54,A_TIPO,"Attività esterna - settimana intera")&gt;0,"Attività esterna - settimana intera",IF(COUNTIFS(A_PERS,$C54,A_DATA,$B54)&gt;0,INDEX(A_TIPO,MATCH(1,INDEX((A_PERS=$C54)*(A_DATA=$B54),0),0)),"")))</f>
        <v/>
      </c>
      <c r="E54">
        <f>IF($D54="",0,1)</f>
        <v/>
      </c>
      <c r="F54">
        <f>IF($E54=0,0,IF(OR($D54="Licenza - settimana intera",$D54="Attività esterna - settimana intera"),0,1))</f>
        <v/>
      </c>
      <c r="G54">
        <f>IF(COUNTIFS(A_PERS,Partecipanti!$B$5,A_DATA,$B54)+COUNTIFS(A_PERS,Partecipanti!$B$5,A_SETT,$A54,A_TIPO,"Licenza - settimana intera")+COUNTIFS(A_PERS,Partecipanti!$B$5,A_SETT,$A54,A_TIPO,"Attività esterna - settimana intera")&gt;0,0,1)</f>
        <v/>
      </c>
      <c r="H54">
        <f>IF(COUNTIFS(A_PERS,Partecipanti!$B$6,A_DATA,$B54)+COUNTIFS(A_PERS,Partecipanti!$B$6,A_SETT,$A54,A_TIPO,"Licenza - settimana intera")+COUNTIFS(A_PERS,Partecipanti!$B$6,A_SETT,$A54,A_TIPO,"Attività esterna - settimana intera")&gt;0,0,1)</f>
        <v/>
      </c>
      <c r="I54">
        <f>IF(COUNTIFS(A_PERS,Partecipanti!$B$7,A_DATA,$B54)+COUNTIFS(A_PERS,Partecipanti!$B$7,A_SETT,$A54,A_TIPO,"Licenza - settimana intera")+COUNTIFS(A_PERS,Partecipanti!$B$7,A_SETT,$A54,A_TIPO,"Attività esterna - settimana intera")&gt;0,0,1)</f>
        <v/>
      </c>
      <c r="J54">
        <f>IF(COUNTIFS(A_PERS,Partecipanti!$B$8,A_DATA,$B54)+COUNTIFS(A_PERS,Partecipanti!$B$8,A_SETT,$A54,A_TIPO,"Licenza - settimana intera")+COUNTIFS(A_PERS,Partecipanti!$B$8,A_SETT,$A54,A_TIPO,"Attività esterna - settimana intera")&gt;0,0,1)</f>
        <v/>
      </c>
      <c r="K54">
        <f>IF(COUNTIFS(A_PERS,Partecipanti!$B$9,A_DATA,$B54)+COUNTIFS(A_PERS,Partecipanti!$B$9,A_SETT,$A54,A_TIPO,"Licenza - settimana intera")+COUNTIFS(A_PERS,Partecipanti!$B$9,A_SETT,$A54,A_TIPO,"Attività esterna - settimana intera")&gt;0,0,1)</f>
        <v/>
      </c>
      <c r="L54">
        <f>IFERROR(INDEX($C46:$C50,MATCH(1,INDEX(($T46:$T50=$C54)*1,0),0)),"")</f>
        <v/>
      </c>
      <c r="M54">
        <f>IF($L54="",0,IF(INDEX($G54:$K54,MATCH($L54,Partecipanti!$B$5:$B$9,0))=1,1,0))</f>
        <v/>
      </c>
      <c r="N54">
        <f>IF($G54=0,100000,IF(Partecipanti!$B$5=$C54,100000,COUNTIF($S$6:$S53,Partecipanti!$B$5)*100+MOD(1-MATCH($C54,Partecipanti!$B$5:$B$9,0)-1,5)))</f>
        <v/>
      </c>
      <c r="O54">
        <f>IF($H54=0,100000,IF(Partecipanti!$B$6=$C54,100000,COUNTIF($S$6:$S53,Partecipanti!$B$6)*100+MOD(2-MATCH($C54,Partecipanti!$B$5:$B$9,0)-1,5)))</f>
        <v/>
      </c>
      <c r="P54">
        <f>IF($I54=0,100000,IF(Partecipanti!$B$7=$C54,100000,COUNTIF($S$6:$S53,Partecipanti!$B$7)*100+MOD(3-MATCH($C54,Partecipanti!$B$5:$B$9,0)-1,5)))</f>
        <v/>
      </c>
      <c r="Q54">
        <f>IF($J54=0,100000,IF(Partecipanti!$B$8=$C54,100000,COUNTIF($S$6:$S53,Partecipanti!$B$8)*100+MOD(4-MATCH($C54,Partecipanti!$B$5:$B$9,0)-1,5)))</f>
        <v/>
      </c>
      <c r="R54">
        <f>IF($K54=0,100000,IF(Partecipanti!$B$9=$C54,100000,COUNTIF($S$6:$S53,Partecipanti!$B$9)*100+MOD(5-MATCH($C54,Partecipanti!$B$5:$B$9,0)-1,5)))</f>
        <v/>
      </c>
      <c r="S54">
        <f>IF(OR($E54=0,$M54=1),"",IF(MIN($N54:$R54)&gt;=100000,"DA ASSEGNARE",INDEX(Partecipanti!$B$5:$B$9,MATCH(MIN($N54:$R54),$N54:$R54,0))))</f>
        <v/>
      </c>
      <c r="T54">
        <f>IF(AND($F54=1,$S54&lt;&gt;"",$S54&lt;&gt;"DA ASSEGNARE"),$S54,"")</f>
        <v/>
      </c>
      <c r="U54">
        <f>IF($M54=1,$L54,IF($E54=0,$C54,$S54))</f>
        <v/>
      </c>
      <c r="V54">
        <f>IF($M54=1,"Recupero",IF($E54=0,"Ordinario",IF($S54="DA ASSEGNARE","DA ASSEGNARE","Sostituzione (doppio turno)")))</f>
        <v/>
      </c>
      <c r="W54">
        <f>IF(OR($M54=1,$E54=1),$C54,"")</f>
        <v/>
      </c>
      <c r="X54">
        <f>IF($M54=1,$L54&amp;" recupera il turno saltato nella settimana "&amp;($A54-1)&amp;"; "&amp;$C54&amp;" a riposo compensativo",IF($E54=1,$C54&amp;" assente ("&amp;$D54&amp;")"&amp;IF($S54="DA ASSEGNARE","; nessun sostituto disponibile","; sostituisce "&amp;$S54&amp;" con doppio turno")&amp;IF($F54=1,"; turno da recuperare nella settimana "&amp;($A54+1),"; turno non da recuperare"),""))</f>
        <v/>
      </c>
      <c r="Y54">
        <f>IF($M54=1,"recupera il turno saltato nella settimana "&amp;($A54-1)&amp;", "&amp;$C54&amp;" a riposo",IF($E54=1,IF($S54="DA ASSEGNARE","turno da assegnare: "&amp;$C54&amp;" assente","in sostituzione di "&amp;$C54&amp;", doppio turno"),""))</f>
        <v/>
      </c>
    </row>
    <row r="55">
      <c r="A55" t="n">
        <v>10</v>
      </c>
      <c r="B55" s="43" t="n">
        <v>46360</v>
      </c>
      <c r="C55">
        <f>Partecipanti!$B$9</f>
        <v/>
      </c>
      <c r="D55">
        <f>IF(COUNTIFS(A_PERS,$C55,A_SETT,$A55,A_TIPO,"Licenza - settimana intera")&gt;0,"Licenza - settimana intera",IF(COUNTIFS(A_PERS,$C55,A_SETT,$A55,A_TIPO,"Attività esterna - settimana intera")&gt;0,"Attività esterna - settimana intera",IF(COUNTIFS(A_PERS,$C55,A_DATA,$B55)&gt;0,INDEX(A_TIPO,MATCH(1,INDEX((A_PERS=$C55)*(A_DATA=$B55),0),0)),"")))</f>
        <v/>
      </c>
      <c r="E55">
        <f>IF($D55="",0,1)</f>
        <v/>
      </c>
      <c r="F55">
        <f>IF($E55=0,0,IF(OR($D55="Licenza - settimana intera",$D55="Attività esterna - settimana intera"),0,1))</f>
        <v/>
      </c>
      <c r="G55">
        <f>IF(COUNTIFS(A_PERS,Partecipanti!$B$5,A_DATA,$B55)+COUNTIFS(A_PERS,Partecipanti!$B$5,A_SETT,$A55,A_TIPO,"Licenza - settimana intera")+COUNTIFS(A_PERS,Partecipanti!$B$5,A_SETT,$A55,A_TIPO,"Attività esterna - settimana intera")&gt;0,0,1)</f>
        <v/>
      </c>
      <c r="H55">
        <f>IF(COUNTIFS(A_PERS,Partecipanti!$B$6,A_DATA,$B55)+COUNTIFS(A_PERS,Partecipanti!$B$6,A_SETT,$A55,A_TIPO,"Licenza - settimana intera")+COUNTIFS(A_PERS,Partecipanti!$B$6,A_SETT,$A55,A_TIPO,"Attività esterna - settimana intera")&gt;0,0,1)</f>
        <v/>
      </c>
      <c r="I55">
        <f>IF(COUNTIFS(A_PERS,Partecipanti!$B$7,A_DATA,$B55)+COUNTIFS(A_PERS,Partecipanti!$B$7,A_SETT,$A55,A_TIPO,"Licenza - settimana intera")+COUNTIFS(A_PERS,Partecipanti!$B$7,A_SETT,$A55,A_TIPO,"Attività esterna - settimana intera")&gt;0,0,1)</f>
        <v/>
      </c>
      <c r="J55">
        <f>IF(COUNTIFS(A_PERS,Partecipanti!$B$8,A_DATA,$B55)+COUNTIFS(A_PERS,Partecipanti!$B$8,A_SETT,$A55,A_TIPO,"Licenza - settimana intera")+COUNTIFS(A_PERS,Partecipanti!$B$8,A_SETT,$A55,A_TIPO,"Attività esterna - settimana intera")&gt;0,0,1)</f>
        <v/>
      </c>
      <c r="K55">
        <f>IF(COUNTIFS(A_PERS,Partecipanti!$B$9,A_DATA,$B55)+COUNTIFS(A_PERS,Partecipanti!$B$9,A_SETT,$A55,A_TIPO,"Licenza - settimana intera")+COUNTIFS(A_PERS,Partecipanti!$B$9,A_SETT,$A55,A_TIPO,"Attività esterna - settimana intera")&gt;0,0,1)</f>
        <v/>
      </c>
      <c r="L55">
        <f>IFERROR(INDEX($C46:$C50,MATCH(1,INDEX(($T46:$T50=$C55)*1,0),0)),"")</f>
        <v/>
      </c>
      <c r="M55">
        <f>IF($L55="",0,IF(INDEX($G55:$K55,MATCH($L55,Partecipanti!$B$5:$B$9,0))=1,1,0))</f>
        <v/>
      </c>
      <c r="N55">
        <f>IF($G55=0,100000,IF(Partecipanti!$B$5=$C55,100000,COUNTIF($S$6:$S54,Partecipanti!$B$5)*100+MOD(1-MATCH($C55,Partecipanti!$B$5:$B$9,0)-1,5)))</f>
        <v/>
      </c>
      <c r="O55">
        <f>IF($H55=0,100000,IF(Partecipanti!$B$6=$C55,100000,COUNTIF($S$6:$S54,Partecipanti!$B$6)*100+MOD(2-MATCH($C55,Partecipanti!$B$5:$B$9,0)-1,5)))</f>
        <v/>
      </c>
      <c r="P55">
        <f>IF($I55=0,100000,IF(Partecipanti!$B$7=$C55,100000,COUNTIF($S$6:$S54,Partecipanti!$B$7)*100+MOD(3-MATCH($C55,Partecipanti!$B$5:$B$9,0)-1,5)))</f>
        <v/>
      </c>
      <c r="Q55">
        <f>IF($J55=0,100000,IF(Partecipanti!$B$8=$C55,100000,COUNTIF($S$6:$S54,Partecipanti!$B$8)*100+MOD(4-MATCH($C55,Partecipanti!$B$5:$B$9,0)-1,5)))</f>
        <v/>
      </c>
      <c r="R55">
        <f>IF($K55=0,100000,IF(Partecipanti!$B$9=$C55,100000,COUNTIF($S$6:$S54,Partecipanti!$B$9)*100+MOD(5-MATCH($C55,Partecipanti!$B$5:$B$9,0)-1,5)))</f>
        <v/>
      </c>
      <c r="S55">
        <f>IF(OR($E55=0,$M55=1),"",IF(MIN($N55:$R55)&gt;=100000,"DA ASSEGNARE",INDEX(Partecipanti!$B$5:$B$9,MATCH(MIN($N55:$R55),$N55:$R55,0))))</f>
        <v/>
      </c>
      <c r="T55">
        <f>IF(AND($F55=1,$S55&lt;&gt;"",$S55&lt;&gt;"DA ASSEGNARE"),$S55,"")</f>
        <v/>
      </c>
      <c r="U55">
        <f>IF($M55=1,$L55,IF($E55=0,$C55,$S55))</f>
        <v/>
      </c>
      <c r="V55">
        <f>IF($M55=1,"Recupero",IF($E55=0,"Ordinario",IF($S55="DA ASSEGNARE","DA ASSEGNARE","Sostituzione (doppio turno)")))</f>
        <v/>
      </c>
      <c r="W55">
        <f>IF(OR($M55=1,$E55=1),$C55,"")</f>
        <v/>
      </c>
      <c r="X55">
        <f>IF($M55=1,$L55&amp;" recupera il turno saltato nella settimana "&amp;($A55-1)&amp;"; "&amp;$C55&amp;" a riposo compensativo",IF($E55=1,$C55&amp;" assente ("&amp;$D55&amp;")"&amp;IF($S55="DA ASSEGNARE","; nessun sostituto disponibile","; sostituisce "&amp;$S55&amp;" con doppio turno")&amp;IF($F55=1,"; turno da recuperare nella settimana "&amp;($A55+1),"; turno non da recuperare"),""))</f>
        <v/>
      </c>
      <c r="Y55">
        <f>IF($M55=1,"recupera il turno saltato nella settimana "&amp;($A55-1)&amp;", "&amp;$C55&amp;" a riposo",IF($E55=1,IF($S55="DA ASSEGNARE","turno da assegnare: "&amp;$C55&amp;" assente","in sostituzione di "&amp;$C55&amp;", doppio turno"),""))</f>
        <v/>
      </c>
    </row>
    <row r="56">
      <c r="A56" t="n">
        <v>11</v>
      </c>
      <c r="B56" s="43" t="n">
        <v>46363</v>
      </c>
      <c r="C56">
        <f>Partecipanti!$B$5</f>
        <v/>
      </c>
      <c r="D56">
        <f>IF(COUNTIFS(A_PERS,$C56,A_SETT,$A56,A_TIPO,"Licenza - settimana intera")&gt;0,"Licenza - settimana intera",IF(COUNTIFS(A_PERS,$C56,A_SETT,$A56,A_TIPO,"Attività esterna - settimana intera")&gt;0,"Attività esterna - settimana intera",IF(COUNTIFS(A_PERS,$C56,A_DATA,$B56)&gt;0,INDEX(A_TIPO,MATCH(1,INDEX((A_PERS=$C56)*(A_DATA=$B56),0),0)),"")))</f>
        <v/>
      </c>
      <c r="E56">
        <f>IF($D56="",0,1)</f>
        <v/>
      </c>
      <c r="F56">
        <f>IF($E56=0,0,IF(OR($D56="Licenza - settimana intera",$D56="Attività esterna - settimana intera"),0,1))</f>
        <v/>
      </c>
      <c r="G56">
        <f>IF(COUNTIFS(A_PERS,Partecipanti!$B$5,A_DATA,$B56)+COUNTIFS(A_PERS,Partecipanti!$B$5,A_SETT,$A56,A_TIPO,"Licenza - settimana intera")+COUNTIFS(A_PERS,Partecipanti!$B$5,A_SETT,$A56,A_TIPO,"Attività esterna - settimana intera")&gt;0,0,1)</f>
        <v/>
      </c>
      <c r="H56">
        <f>IF(COUNTIFS(A_PERS,Partecipanti!$B$6,A_DATA,$B56)+COUNTIFS(A_PERS,Partecipanti!$B$6,A_SETT,$A56,A_TIPO,"Licenza - settimana intera")+COUNTIFS(A_PERS,Partecipanti!$B$6,A_SETT,$A56,A_TIPO,"Attività esterna - settimana intera")&gt;0,0,1)</f>
        <v/>
      </c>
      <c r="I56">
        <f>IF(COUNTIFS(A_PERS,Partecipanti!$B$7,A_DATA,$B56)+COUNTIFS(A_PERS,Partecipanti!$B$7,A_SETT,$A56,A_TIPO,"Licenza - settimana intera")+COUNTIFS(A_PERS,Partecipanti!$B$7,A_SETT,$A56,A_TIPO,"Attività esterna - settimana intera")&gt;0,0,1)</f>
        <v/>
      </c>
      <c r="J56">
        <f>IF(COUNTIFS(A_PERS,Partecipanti!$B$8,A_DATA,$B56)+COUNTIFS(A_PERS,Partecipanti!$B$8,A_SETT,$A56,A_TIPO,"Licenza - settimana intera")+COUNTIFS(A_PERS,Partecipanti!$B$8,A_SETT,$A56,A_TIPO,"Attività esterna - settimana intera")&gt;0,0,1)</f>
        <v/>
      </c>
      <c r="K56">
        <f>IF(COUNTIFS(A_PERS,Partecipanti!$B$9,A_DATA,$B56)+COUNTIFS(A_PERS,Partecipanti!$B$9,A_SETT,$A56,A_TIPO,"Licenza - settimana intera")+COUNTIFS(A_PERS,Partecipanti!$B$9,A_SETT,$A56,A_TIPO,"Attività esterna - settimana intera")&gt;0,0,1)</f>
        <v/>
      </c>
      <c r="L56">
        <f>IFERROR(INDEX($C51:$C55,MATCH(1,INDEX(($T51:$T55=$C56)*1,0),0)),"")</f>
        <v/>
      </c>
      <c r="M56">
        <f>IF($L56="",0,IF(INDEX($G56:$K56,MATCH($L56,Partecipanti!$B$5:$B$9,0))=1,1,0))</f>
        <v/>
      </c>
      <c r="N56">
        <f>IF($G56=0,100000,IF(Partecipanti!$B$5=$C56,100000,COUNTIF($S$6:$S55,Partecipanti!$B$5)*100+MOD(1-MATCH($C56,Partecipanti!$B$5:$B$9,0)-1,5)))</f>
        <v/>
      </c>
      <c r="O56">
        <f>IF($H56=0,100000,IF(Partecipanti!$B$6=$C56,100000,COUNTIF($S$6:$S55,Partecipanti!$B$6)*100+MOD(2-MATCH($C56,Partecipanti!$B$5:$B$9,0)-1,5)))</f>
        <v/>
      </c>
      <c r="P56">
        <f>IF($I56=0,100000,IF(Partecipanti!$B$7=$C56,100000,COUNTIF($S$6:$S55,Partecipanti!$B$7)*100+MOD(3-MATCH($C56,Partecipanti!$B$5:$B$9,0)-1,5)))</f>
        <v/>
      </c>
      <c r="Q56">
        <f>IF($J56=0,100000,IF(Partecipanti!$B$8=$C56,100000,COUNTIF($S$6:$S55,Partecipanti!$B$8)*100+MOD(4-MATCH($C56,Partecipanti!$B$5:$B$9,0)-1,5)))</f>
        <v/>
      </c>
      <c r="R56">
        <f>IF($K56=0,100000,IF(Partecipanti!$B$9=$C56,100000,COUNTIF($S$6:$S55,Partecipanti!$B$9)*100+MOD(5-MATCH($C56,Partecipanti!$B$5:$B$9,0)-1,5)))</f>
        <v/>
      </c>
      <c r="S56">
        <f>IF(OR($E56=0,$M56=1),"",IF(MIN($N56:$R56)&gt;=100000,"DA ASSEGNARE",INDEX(Partecipanti!$B$5:$B$9,MATCH(MIN($N56:$R56),$N56:$R56,0))))</f>
        <v/>
      </c>
      <c r="T56">
        <f>IF(AND($F56=1,$S56&lt;&gt;"",$S56&lt;&gt;"DA ASSEGNARE"),$S56,"")</f>
        <v/>
      </c>
      <c r="U56">
        <f>IF($M56=1,$L56,IF($E56=0,$C56,$S56))</f>
        <v/>
      </c>
      <c r="V56">
        <f>IF($M56=1,"Recupero",IF($E56=0,"Ordinario",IF($S56="DA ASSEGNARE","DA ASSEGNARE","Sostituzione (doppio turno)")))</f>
        <v/>
      </c>
      <c r="W56">
        <f>IF(OR($M56=1,$E56=1),$C56,"")</f>
        <v/>
      </c>
      <c r="X56">
        <f>IF($M56=1,$L56&amp;" recupera il turno saltato nella settimana "&amp;($A56-1)&amp;"; "&amp;$C56&amp;" a riposo compensativo",IF($E56=1,$C56&amp;" assente ("&amp;$D56&amp;")"&amp;IF($S56="DA ASSEGNARE","; nessun sostituto disponibile","; sostituisce "&amp;$S56&amp;" con doppio turno")&amp;IF($F56=1,"; turno da recuperare nella settimana "&amp;($A56+1),"; turno non da recuperare"),""))</f>
        <v/>
      </c>
      <c r="Y56">
        <f>IF($M56=1,"recupera il turno saltato nella settimana "&amp;($A56-1)&amp;", "&amp;$C56&amp;" a riposo",IF($E56=1,IF($S56="DA ASSEGNARE","turno da assegnare: "&amp;$C56&amp;" assente","in sostituzione di "&amp;$C56&amp;", doppio turno"),""))</f>
        <v/>
      </c>
    </row>
    <row r="57">
      <c r="A57" t="n">
        <v>11</v>
      </c>
      <c r="B57" s="43" t="n">
        <v>46364</v>
      </c>
      <c r="C57">
        <f>Partecipanti!$B$6</f>
        <v/>
      </c>
      <c r="D57">
        <f>IF(COUNTIFS(A_PERS,$C57,A_SETT,$A57,A_TIPO,"Licenza - settimana intera")&gt;0,"Licenza - settimana intera",IF(COUNTIFS(A_PERS,$C57,A_SETT,$A57,A_TIPO,"Attività esterna - settimana intera")&gt;0,"Attività esterna - settimana intera",IF(COUNTIFS(A_PERS,$C57,A_DATA,$B57)&gt;0,INDEX(A_TIPO,MATCH(1,INDEX((A_PERS=$C57)*(A_DATA=$B57),0),0)),"")))</f>
        <v/>
      </c>
      <c r="E57">
        <f>IF($D57="",0,1)</f>
        <v/>
      </c>
      <c r="F57">
        <f>IF($E57=0,0,IF(OR($D57="Licenza - settimana intera",$D57="Attività esterna - settimana intera"),0,1))</f>
        <v/>
      </c>
      <c r="G57">
        <f>IF(COUNTIFS(A_PERS,Partecipanti!$B$5,A_DATA,$B57)+COUNTIFS(A_PERS,Partecipanti!$B$5,A_SETT,$A57,A_TIPO,"Licenza - settimana intera")+COUNTIFS(A_PERS,Partecipanti!$B$5,A_SETT,$A57,A_TIPO,"Attività esterna - settimana intera")&gt;0,0,1)</f>
        <v/>
      </c>
      <c r="H57">
        <f>IF(COUNTIFS(A_PERS,Partecipanti!$B$6,A_DATA,$B57)+COUNTIFS(A_PERS,Partecipanti!$B$6,A_SETT,$A57,A_TIPO,"Licenza - settimana intera")+COUNTIFS(A_PERS,Partecipanti!$B$6,A_SETT,$A57,A_TIPO,"Attività esterna - settimana intera")&gt;0,0,1)</f>
        <v/>
      </c>
      <c r="I57">
        <f>IF(COUNTIFS(A_PERS,Partecipanti!$B$7,A_DATA,$B57)+COUNTIFS(A_PERS,Partecipanti!$B$7,A_SETT,$A57,A_TIPO,"Licenza - settimana intera")+COUNTIFS(A_PERS,Partecipanti!$B$7,A_SETT,$A57,A_TIPO,"Attività esterna - settimana intera")&gt;0,0,1)</f>
        <v/>
      </c>
      <c r="J57">
        <f>IF(COUNTIFS(A_PERS,Partecipanti!$B$8,A_DATA,$B57)+COUNTIFS(A_PERS,Partecipanti!$B$8,A_SETT,$A57,A_TIPO,"Licenza - settimana intera")+COUNTIFS(A_PERS,Partecipanti!$B$8,A_SETT,$A57,A_TIPO,"Attività esterna - settimana intera")&gt;0,0,1)</f>
        <v/>
      </c>
      <c r="K57">
        <f>IF(COUNTIFS(A_PERS,Partecipanti!$B$9,A_DATA,$B57)+COUNTIFS(A_PERS,Partecipanti!$B$9,A_SETT,$A57,A_TIPO,"Licenza - settimana intera")+COUNTIFS(A_PERS,Partecipanti!$B$9,A_SETT,$A57,A_TIPO,"Attività esterna - settimana intera")&gt;0,0,1)</f>
        <v/>
      </c>
      <c r="L57">
        <f>IFERROR(INDEX($C51:$C55,MATCH(1,INDEX(($T51:$T55=$C57)*1,0),0)),"")</f>
        <v/>
      </c>
      <c r="M57">
        <f>IF($L57="",0,IF(INDEX($G57:$K57,MATCH($L57,Partecipanti!$B$5:$B$9,0))=1,1,0))</f>
        <v/>
      </c>
      <c r="N57">
        <f>IF($G57=0,100000,IF(Partecipanti!$B$5=$C57,100000,COUNTIF($S$6:$S56,Partecipanti!$B$5)*100+MOD(1-MATCH($C57,Partecipanti!$B$5:$B$9,0)-1,5)))</f>
        <v/>
      </c>
      <c r="O57">
        <f>IF($H57=0,100000,IF(Partecipanti!$B$6=$C57,100000,COUNTIF($S$6:$S56,Partecipanti!$B$6)*100+MOD(2-MATCH($C57,Partecipanti!$B$5:$B$9,0)-1,5)))</f>
        <v/>
      </c>
      <c r="P57">
        <f>IF($I57=0,100000,IF(Partecipanti!$B$7=$C57,100000,COUNTIF($S$6:$S56,Partecipanti!$B$7)*100+MOD(3-MATCH($C57,Partecipanti!$B$5:$B$9,0)-1,5)))</f>
        <v/>
      </c>
      <c r="Q57">
        <f>IF($J57=0,100000,IF(Partecipanti!$B$8=$C57,100000,COUNTIF($S$6:$S56,Partecipanti!$B$8)*100+MOD(4-MATCH($C57,Partecipanti!$B$5:$B$9,0)-1,5)))</f>
        <v/>
      </c>
      <c r="R57">
        <f>IF($K57=0,100000,IF(Partecipanti!$B$9=$C57,100000,COUNTIF($S$6:$S56,Partecipanti!$B$9)*100+MOD(5-MATCH($C57,Partecipanti!$B$5:$B$9,0)-1,5)))</f>
        <v/>
      </c>
      <c r="S57">
        <f>IF(OR($E57=0,$M57=1),"",IF(MIN($N57:$R57)&gt;=100000,"DA ASSEGNARE",INDEX(Partecipanti!$B$5:$B$9,MATCH(MIN($N57:$R57),$N57:$R57,0))))</f>
        <v/>
      </c>
      <c r="T57">
        <f>IF(AND($F57=1,$S57&lt;&gt;"",$S57&lt;&gt;"DA ASSEGNARE"),$S57,"")</f>
        <v/>
      </c>
      <c r="U57">
        <f>IF($M57=1,$L57,IF($E57=0,$C57,$S57))</f>
        <v/>
      </c>
      <c r="V57">
        <f>IF($M57=1,"Recupero",IF($E57=0,"Ordinario",IF($S57="DA ASSEGNARE","DA ASSEGNARE","Sostituzione (doppio turno)")))</f>
        <v/>
      </c>
      <c r="W57">
        <f>IF(OR($M57=1,$E57=1),$C57,"")</f>
        <v/>
      </c>
      <c r="X57">
        <f>IF($M57=1,$L57&amp;" recupera il turno saltato nella settimana "&amp;($A57-1)&amp;"; "&amp;$C57&amp;" a riposo compensativo",IF($E57=1,$C57&amp;" assente ("&amp;$D57&amp;")"&amp;IF($S57="DA ASSEGNARE","; nessun sostituto disponibile","; sostituisce "&amp;$S57&amp;" con doppio turno")&amp;IF($F57=1,"; turno da recuperare nella settimana "&amp;($A57+1),"; turno non da recuperare"),""))</f>
        <v/>
      </c>
      <c r="Y57">
        <f>IF($M57=1,"recupera il turno saltato nella settimana "&amp;($A57-1)&amp;", "&amp;$C57&amp;" a riposo",IF($E57=1,IF($S57="DA ASSEGNARE","turno da assegnare: "&amp;$C57&amp;" assente","in sostituzione di "&amp;$C57&amp;", doppio turno"),""))</f>
        <v/>
      </c>
    </row>
    <row r="58">
      <c r="A58" t="n">
        <v>11</v>
      </c>
      <c r="B58" s="43" t="n">
        <v>46365</v>
      </c>
      <c r="C58">
        <f>Partecipanti!$B$7</f>
        <v/>
      </c>
      <c r="D58">
        <f>IF(COUNTIFS(A_PERS,$C58,A_SETT,$A58,A_TIPO,"Licenza - settimana intera")&gt;0,"Licenza - settimana intera",IF(COUNTIFS(A_PERS,$C58,A_SETT,$A58,A_TIPO,"Attività esterna - settimana intera")&gt;0,"Attività esterna - settimana intera",IF(COUNTIFS(A_PERS,$C58,A_DATA,$B58)&gt;0,INDEX(A_TIPO,MATCH(1,INDEX((A_PERS=$C58)*(A_DATA=$B58),0),0)),"")))</f>
        <v/>
      </c>
      <c r="E58">
        <f>IF($D58="",0,1)</f>
        <v/>
      </c>
      <c r="F58">
        <f>IF($E58=0,0,IF(OR($D58="Licenza - settimana intera",$D58="Attività esterna - settimana intera"),0,1))</f>
        <v/>
      </c>
      <c r="G58">
        <f>IF(COUNTIFS(A_PERS,Partecipanti!$B$5,A_DATA,$B58)+COUNTIFS(A_PERS,Partecipanti!$B$5,A_SETT,$A58,A_TIPO,"Licenza - settimana intera")+COUNTIFS(A_PERS,Partecipanti!$B$5,A_SETT,$A58,A_TIPO,"Attività esterna - settimana intera")&gt;0,0,1)</f>
        <v/>
      </c>
      <c r="H58">
        <f>IF(COUNTIFS(A_PERS,Partecipanti!$B$6,A_DATA,$B58)+COUNTIFS(A_PERS,Partecipanti!$B$6,A_SETT,$A58,A_TIPO,"Licenza - settimana intera")+COUNTIFS(A_PERS,Partecipanti!$B$6,A_SETT,$A58,A_TIPO,"Attività esterna - settimana intera")&gt;0,0,1)</f>
        <v/>
      </c>
      <c r="I58">
        <f>IF(COUNTIFS(A_PERS,Partecipanti!$B$7,A_DATA,$B58)+COUNTIFS(A_PERS,Partecipanti!$B$7,A_SETT,$A58,A_TIPO,"Licenza - settimana intera")+COUNTIFS(A_PERS,Partecipanti!$B$7,A_SETT,$A58,A_TIPO,"Attività esterna - settimana intera")&gt;0,0,1)</f>
        <v/>
      </c>
      <c r="J58">
        <f>IF(COUNTIFS(A_PERS,Partecipanti!$B$8,A_DATA,$B58)+COUNTIFS(A_PERS,Partecipanti!$B$8,A_SETT,$A58,A_TIPO,"Licenza - settimana intera")+COUNTIFS(A_PERS,Partecipanti!$B$8,A_SETT,$A58,A_TIPO,"Attività esterna - settimana intera")&gt;0,0,1)</f>
        <v/>
      </c>
      <c r="K58">
        <f>IF(COUNTIFS(A_PERS,Partecipanti!$B$9,A_DATA,$B58)+COUNTIFS(A_PERS,Partecipanti!$B$9,A_SETT,$A58,A_TIPO,"Licenza - settimana intera")+COUNTIFS(A_PERS,Partecipanti!$B$9,A_SETT,$A58,A_TIPO,"Attività esterna - settimana intera")&gt;0,0,1)</f>
        <v/>
      </c>
      <c r="L58">
        <f>IFERROR(INDEX($C51:$C55,MATCH(1,INDEX(($T51:$T55=$C58)*1,0),0)),"")</f>
        <v/>
      </c>
      <c r="M58">
        <f>IF($L58="",0,IF(INDEX($G58:$K58,MATCH($L58,Partecipanti!$B$5:$B$9,0))=1,1,0))</f>
        <v/>
      </c>
      <c r="N58">
        <f>IF($G58=0,100000,IF(Partecipanti!$B$5=$C58,100000,COUNTIF($S$6:$S57,Partecipanti!$B$5)*100+MOD(1-MATCH($C58,Partecipanti!$B$5:$B$9,0)-1,5)))</f>
        <v/>
      </c>
      <c r="O58">
        <f>IF($H58=0,100000,IF(Partecipanti!$B$6=$C58,100000,COUNTIF($S$6:$S57,Partecipanti!$B$6)*100+MOD(2-MATCH($C58,Partecipanti!$B$5:$B$9,0)-1,5)))</f>
        <v/>
      </c>
      <c r="P58">
        <f>IF($I58=0,100000,IF(Partecipanti!$B$7=$C58,100000,COUNTIF($S$6:$S57,Partecipanti!$B$7)*100+MOD(3-MATCH($C58,Partecipanti!$B$5:$B$9,0)-1,5)))</f>
        <v/>
      </c>
      <c r="Q58">
        <f>IF($J58=0,100000,IF(Partecipanti!$B$8=$C58,100000,COUNTIF($S$6:$S57,Partecipanti!$B$8)*100+MOD(4-MATCH($C58,Partecipanti!$B$5:$B$9,0)-1,5)))</f>
        <v/>
      </c>
      <c r="R58">
        <f>IF($K58=0,100000,IF(Partecipanti!$B$9=$C58,100000,COUNTIF($S$6:$S57,Partecipanti!$B$9)*100+MOD(5-MATCH($C58,Partecipanti!$B$5:$B$9,0)-1,5)))</f>
        <v/>
      </c>
      <c r="S58">
        <f>IF(OR($E58=0,$M58=1),"",IF(MIN($N58:$R58)&gt;=100000,"DA ASSEGNARE",INDEX(Partecipanti!$B$5:$B$9,MATCH(MIN($N58:$R58),$N58:$R58,0))))</f>
        <v/>
      </c>
      <c r="T58">
        <f>IF(AND($F58=1,$S58&lt;&gt;"",$S58&lt;&gt;"DA ASSEGNARE"),$S58,"")</f>
        <v/>
      </c>
      <c r="U58">
        <f>IF($M58=1,$L58,IF($E58=0,$C58,$S58))</f>
        <v/>
      </c>
      <c r="V58">
        <f>IF($M58=1,"Recupero",IF($E58=0,"Ordinario",IF($S58="DA ASSEGNARE","DA ASSEGNARE","Sostituzione (doppio turno)")))</f>
        <v/>
      </c>
      <c r="W58">
        <f>IF(OR($M58=1,$E58=1),$C58,"")</f>
        <v/>
      </c>
      <c r="X58">
        <f>IF($M58=1,$L58&amp;" recupera il turno saltato nella settimana "&amp;($A58-1)&amp;"; "&amp;$C58&amp;" a riposo compensativo",IF($E58=1,$C58&amp;" assente ("&amp;$D58&amp;")"&amp;IF($S58="DA ASSEGNARE","; nessun sostituto disponibile","; sostituisce "&amp;$S58&amp;" con doppio turno")&amp;IF($F58=1,"; turno da recuperare nella settimana "&amp;($A58+1),"; turno non da recuperare"),""))</f>
        <v/>
      </c>
      <c r="Y58">
        <f>IF($M58=1,"recupera il turno saltato nella settimana "&amp;($A58-1)&amp;", "&amp;$C58&amp;" a riposo",IF($E58=1,IF($S58="DA ASSEGNARE","turno da assegnare: "&amp;$C58&amp;" assente","in sostituzione di "&amp;$C58&amp;", doppio turno"),""))</f>
        <v/>
      </c>
    </row>
    <row r="59">
      <c r="A59" t="n">
        <v>11</v>
      </c>
      <c r="B59" s="43" t="n">
        <v>46366</v>
      </c>
      <c r="C59">
        <f>Partecipanti!$B$8</f>
        <v/>
      </c>
      <c r="D59">
        <f>IF(COUNTIFS(A_PERS,$C59,A_SETT,$A59,A_TIPO,"Licenza - settimana intera")&gt;0,"Licenza - settimana intera",IF(COUNTIFS(A_PERS,$C59,A_SETT,$A59,A_TIPO,"Attività esterna - settimana intera")&gt;0,"Attività esterna - settimana intera",IF(COUNTIFS(A_PERS,$C59,A_DATA,$B59)&gt;0,INDEX(A_TIPO,MATCH(1,INDEX((A_PERS=$C59)*(A_DATA=$B59),0),0)),"")))</f>
        <v/>
      </c>
      <c r="E59">
        <f>IF($D59="",0,1)</f>
        <v/>
      </c>
      <c r="F59">
        <f>IF($E59=0,0,IF(OR($D59="Licenza - settimana intera",$D59="Attività esterna - settimana intera"),0,1))</f>
        <v/>
      </c>
      <c r="G59">
        <f>IF(COUNTIFS(A_PERS,Partecipanti!$B$5,A_DATA,$B59)+COUNTIFS(A_PERS,Partecipanti!$B$5,A_SETT,$A59,A_TIPO,"Licenza - settimana intera")+COUNTIFS(A_PERS,Partecipanti!$B$5,A_SETT,$A59,A_TIPO,"Attività esterna - settimana intera")&gt;0,0,1)</f>
        <v/>
      </c>
      <c r="H59">
        <f>IF(COUNTIFS(A_PERS,Partecipanti!$B$6,A_DATA,$B59)+COUNTIFS(A_PERS,Partecipanti!$B$6,A_SETT,$A59,A_TIPO,"Licenza - settimana intera")+COUNTIFS(A_PERS,Partecipanti!$B$6,A_SETT,$A59,A_TIPO,"Attività esterna - settimana intera")&gt;0,0,1)</f>
        <v/>
      </c>
      <c r="I59">
        <f>IF(COUNTIFS(A_PERS,Partecipanti!$B$7,A_DATA,$B59)+COUNTIFS(A_PERS,Partecipanti!$B$7,A_SETT,$A59,A_TIPO,"Licenza - settimana intera")+COUNTIFS(A_PERS,Partecipanti!$B$7,A_SETT,$A59,A_TIPO,"Attività esterna - settimana intera")&gt;0,0,1)</f>
        <v/>
      </c>
      <c r="J59">
        <f>IF(COUNTIFS(A_PERS,Partecipanti!$B$8,A_DATA,$B59)+COUNTIFS(A_PERS,Partecipanti!$B$8,A_SETT,$A59,A_TIPO,"Licenza - settimana intera")+COUNTIFS(A_PERS,Partecipanti!$B$8,A_SETT,$A59,A_TIPO,"Attività esterna - settimana intera")&gt;0,0,1)</f>
        <v/>
      </c>
      <c r="K59">
        <f>IF(COUNTIFS(A_PERS,Partecipanti!$B$9,A_DATA,$B59)+COUNTIFS(A_PERS,Partecipanti!$B$9,A_SETT,$A59,A_TIPO,"Licenza - settimana intera")+COUNTIFS(A_PERS,Partecipanti!$B$9,A_SETT,$A59,A_TIPO,"Attività esterna - settimana intera")&gt;0,0,1)</f>
        <v/>
      </c>
      <c r="L59">
        <f>IFERROR(INDEX($C51:$C55,MATCH(1,INDEX(($T51:$T55=$C59)*1,0),0)),"")</f>
        <v/>
      </c>
      <c r="M59">
        <f>IF($L59="",0,IF(INDEX($G59:$K59,MATCH($L59,Partecipanti!$B$5:$B$9,0))=1,1,0))</f>
        <v/>
      </c>
      <c r="N59">
        <f>IF($G59=0,100000,IF(Partecipanti!$B$5=$C59,100000,COUNTIF($S$6:$S58,Partecipanti!$B$5)*100+MOD(1-MATCH($C59,Partecipanti!$B$5:$B$9,0)-1,5)))</f>
        <v/>
      </c>
      <c r="O59">
        <f>IF($H59=0,100000,IF(Partecipanti!$B$6=$C59,100000,COUNTIF($S$6:$S58,Partecipanti!$B$6)*100+MOD(2-MATCH($C59,Partecipanti!$B$5:$B$9,0)-1,5)))</f>
        <v/>
      </c>
      <c r="P59">
        <f>IF($I59=0,100000,IF(Partecipanti!$B$7=$C59,100000,COUNTIF($S$6:$S58,Partecipanti!$B$7)*100+MOD(3-MATCH($C59,Partecipanti!$B$5:$B$9,0)-1,5)))</f>
        <v/>
      </c>
      <c r="Q59">
        <f>IF($J59=0,100000,IF(Partecipanti!$B$8=$C59,100000,COUNTIF($S$6:$S58,Partecipanti!$B$8)*100+MOD(4-MATCH($C59,Partecipanti!$B$5:$B$9,0)-1,5)))</f>
        <v/>
      </c>
      <c r="R59">
        <f>IF($K59=0,100000,IF(Partecipanti!$B$9=$C59,100000,COUNTIF($S$6:$S58,Partecipanti!$B$9)*100+MOD(5-MATCH($C59,Partecipanti!$B$5:$B$9,0)-1,5)))</f>
        <v/>
      </c>
      <c r="S59">
        <f>IF(OR($E59=0,$M59=1),"",IF(MIN($N59:$R59)&gt;=100000,"DA ASSEGNARE",INDEX(Partecipanti!$B$5:$B$9,MATCH(MIN($N59:$R59),$N59:$R59,0))))</f>
        <v/>
      </c>
      <c r="T59">
        <f>IF(AND($F59=1,$S59&lt;&gt;"",$S59&lt;&gt;"DA ASSEGNARE"),$S59,"")</f>
        <v/>
      </c>
      <c r="U59">
        <f>IF($M59=1,$L59,IF($E59=0,$C59,$S59))</f>
        <v/>
      </c>
      <c r="V59">
        <f>IF($M59=1,"Recupero",IF($E59=0,"Ordinario",IF($S59="DA ASSEGNARE","DA ASSEGNARE","Sostituzione (doppio turno)")))</f>
        <v/>
      </c>
      <c r="W59">
        <f>IF(OR($M59=1,$E59=1),$C59,"")</f>
        <v/>
      </c>
      <c r="X59">
        <f>IF($M59=1,$L59&amp;" recupera il turno saltato nella settimana "&amp;($A59-1)&amp;"; "&amp;$C59&amp;" a riposo compensativo",IF($E59=1,$C59&amp;" assente ("&amp;$D59&amp;")"&amp;IF($S59="DA ASSEGNARE","; nessun sostituto disponibile","; sostituisce "&amp;$S59&amp;" con doppio turno")&amp;IF($F59=1,"; turno da recuperare nella settimana "&amp;($A59+1),"; turno non da recuperare"),""))</f>
        <v/>
      </c>
      <c r="Y59">
        <f>IF($M59=1,"recupera il turno saltato nella settimana "&amp;($A59-1)&amp;", "&amp;$C59&amp;" a riposo",IF($E59=1,IF($S59="DA ASSEGNARE","turno da assegnare: "&amp;$C59&amp;" assente","in sostituzione di "&amp;$C59&amp;", doppio turno"),""))</f>
        <v/>
      </c>
    </row>
    <row r="60">
      <c r="A60" t="n">
        <v>11</v>
      </c>
      <c r="B60" s="43" t="n">
        <v>46367</v>
      </c>
      <c r="C60">
        <f>Partecipanti!$B$9</f>
        <v/>
      </c>
      <c r="D60">
        <f>IF(COUNTIFS(A_PERS,$C60,A_SETT,$A60,A_TIPO,"Licenza - settimana intera")&gt;0,"Licenza - settimana intera",IF(COUNTIFS(A_PERS,$C60,A_SETT,$A60,A_TIPO,"Attività esterna - settimana intera")&gt;0,"Attività esterna - settimana intera",IF(COUNTIFS(A_PERS,$C60,A_DATA,$B60)&gt;0,INDEX(A_TIPO,MATCH(1,INDEX((A_PERS=$C60)*(A_DATA=$B60),0),0)),"")))</f>
        <v/>
      </c>
      <c r="E60">
        <f>IF($D60="",0,1)</f>
        <v/>
      </c>
      <c r="F60">
        <f>IF($E60=0,0,IF(OR($D60="Licenza - settimana intera",$D60="Attività esterna - settimana intera"),0,1))</f>
        <v/>
      </c>
      <c r="G60">
        <f>IF(COUNTIFS(A_PERS,Partecipanti!$B$5,A_DATA,$B60)+COUNTIFS(A_PERS,Partecipanti!$B$5,A_SETT,$A60,A_TIPO,"Licenza - settimana intera")+COUNTIFS(A_PERS,Partecipanti!$B$5,A_SETT,$A60,A_TIPO,"Attività esterna - settimana intera")&gt;0,0,1)</f>
        <v/>
      </c>
      <c r="H60">
        <f>IF(COUNTIFS(A_PERS,Partecipanti!$B$6,A_DATA,$B60)+COUNTIFS(A_PERS,Partecipanti!$B$6,A_SETT,$A60,A_TIPO,"Licenza - settimana intera")+COUNTIFS(A_PERS,Partecipanti!$B$6,A_SETT,$A60,A_TIPO,"Attività esterna - settimana intera")&gt;0,0,1)</f>
        <v/>
      </c>
      <c r="I60">
        <f>IF(COUNTIFS(A_PERS,Partecipanti!$B$7,A_DATA,$B60)+COUNTIFS(A_PERS,Partecipanti!$B$7,A_SETT,$A60,A_TIPO,"Licenza - settimana intera")+COUNTIFS(A_PERS,Partecipanti!$B$7,A_SETT,$A60,A_TIPO,"Attività esterna - settimana intera")&gt;0,0,1)</f>
        <v/>
      </c>
      <c r="J60">
        <f>IF(COUNTIFS(A_PERS,Partecipanti!$B$8,A_DATA,$B60)+COUNTIFS(A_PERS,Partecipanti!$B$8,A_SETT,$A60,A_TIPO,"Licenza - settimana intera")+COUNTIFS(A_PERS,Partecipanti!$B$8,A_SETT,$A60,A_TIPO,"Attività esterna - settimana intera")&gt;0,0,1)</f>
        <v/>
      </c>
      <c r="K60">
        <f>IF(COUNTIFS(A_PERS,Partecipanti!$B$9,A_DATA,$B60)+COUNTIFS(A_PERS,Partecipanti!$B$9,A_SETT,$A60,A_TIPO,"Licenza - settimana intera")+COUNTIFS(A_PERS,Partecipanti!$B$9,A_SETT,$A60,A_TIPO,"Attività esterna - settimana intera")&gt;0,0,1)</f>
        <v/>
      </c>
      <c r="L60">
        <f>IFERROR(INDEX($C51:$C55,MATCH(1,INDEX(($T51:$T55=$C60)*1,0),0)),"")</f>
        <v/>
      </c>
      <c r="M60">
        <f>IF($L60="",0,IF(INDEX($G60:$K60,MATCH($L60,Partecipanti!$B$5:$B$9,0))=1,1,0))</f>
        <v/>
      </c>
      <c r="N60">
        <f>IF($G60=0,100000,IF(Partecipanti!$B$5=$C60,100000,COUNTIF($S$6:$S59,Partecipanti!$B$5)*100+MOD(1-MATCH($C60,Partecipanti!$B$5:$B$9,0)-1,5)))</f>
        <v/>
      </c>
      <c r="O60">
        <f>IF($H60=0,100000,IF(Partecipanti!$B$6=$C60,100000,COUNTIF($S$6:$S59,Partecipanti!$B$6)*100+MOD(2-MATCH($C60,Partecipanti!$B$5:$B$9,0)-1,5)))</f>
        <v/>
      </c>
      <c r="P60">
        <f>IF($I60=0,100000,IF(Partecipanti!$B$7=$C60,100000,COUNTIF($S$6:$S59,Partecipanti!$B$7)*100+MOD(3-MATCH($C60,Partecipanti!$B$5:$B$9,0)-1,5)))</f>
        <v/>
      </c>
      <c r="Q60">
        <f>IF($J60=0,100000,IF(Partecipanti!$B$8=$C60,100000,COUNTIF($S$6:$S59,Partecipanti!$B$8)*100+MOD(4-MATCH($C60,Partecipanti!$B$5:$B$9,0)-1,5)))</f>
        <v/>
      </c>
      <c r="R60">
        <f>IF($K60=0,100000,IF(Partecipanti!$B$9=$C60,100000,COUNTIF($S$6:$S59,Partecipanti!$B$9)*100+MOD(5-MATCH($C60,Partecipanti!$B$5:$B$9,0)-1,5)))</f>
        <v/>
      </c>
      <c r="S60">
        <f>IF(OR($E60=0,$M60=1),"",IF(MIN($N60:$R60)&gt;=100000,"DA ASSEGNARE",INDEX(Partecipanti!$B$5:$B$9,MATCH(MIN($N60:$R60),$N60:$R60,0))))</f>
        <v/>
      </c>
      <c r="T60">
        <f>IF(AND($F60=1,$S60&lt;&gt;"",$S60&lt;&gt;"DA ASSEGNARE"),$S60,"")</f>
        <v/>
      </c>
      <c r="U60">
        <f>IF($M60=1,$L60,IF($E60=0,$C60,$S60))</f>
        <v/>
      </c>
      <c r="V60">
        <f>IF($M60=1,"Recupero",IF($E60=0,"Ordinario",IF($S60="DA ASSEGNARE","DA ASSEGNARE","Sostituzione (doppio turno)")))</f>
        <v/>
      </c>
      <c r="W60">
        <f>IF(OR($M60=1,$E60=1),$C60,"")</f>
        <v/>
      </c>
      <c r="X60">
        <f>IF($M60=1,$L60&amp;" recupera il turno saltato nella settimana "&amp;($A60-1)&amp;"; "&amp;$C60&amp;" a riposo compensativo",IF($E60=1,$C60&amp;" assente ("&amp;$D60&amp;")"&amp;IF($S60="DA ASSEGNARE","; nessun sostituto disponibile","; sostituisce "&amp;$S60&amp;" con doppio turno")&amp;IF($F60=1,"; turno da recuperare nella settimana "&amp;($A60+1),"; turno non da recuperare"),""))</f>
        <v/>
      </c>
      <c r="Y60">
        <f>IF($M60=1,"recupera il turno saltato nella settimana "&amp;($A60-1)&amp;", "&amp;$C60&amp;" a riposo",IF($E60=1,IF($S60="DA ASSEGNARE","turno da assegnare: "&amp;$C60&amp;" assente","in sostituzione di "&amp;$C60&amp;", doppio turno"),""))</f>
        <v/>
      </c>
    </row>
    <row r="61">
      <c r="A61" t="n">
        <v>12</v>
      </c>
      <c r="B61" s="43" t="n">
        <v>46370</v>
      </c>
      <c r="C61">
        <f>Partecipanti!$B$5</f>
        <v/>
      </c>
      <c r="D61">
        <f>IF(COUNTIFS(A_PERS,$C61,A_SETT,$A61,A_TIPO,"Licenza - settimana intera")&gt;0,"Licenza - settimana intera",IF(COUNTIFS(A_PERS,$C61,A_SETT,$A61,A_TIPO,"Attività esterna - settimana intera")&gt;0,"Attività esterna - settimana intera",IF(COUNTIFS(A_PERS,$C61,A_DATA,$B61)&gt;0,INDEX(A_TIPO,MATCH(1,INDEX((A_PERS=$C61)*(A_DATA=$B61),0),0)),"")))</f>
        <v/>
      </c>
      <c r="E61">
        <f>IF($D61="",0,1)</f>
        <v/>
      </c>
      <c r="F61">
        <f>IF($E61=0,0,IF(OR($D61="Licenza - settimana intera",$D61="Attività esterna - settimana intera"),0,1))</f>
        <v/>
      </c>
      <c r="G61">
        <f>IF(COUNTIFS(A_PERS,Partecipanti!$B$5,A_DATA,$B61)+COUNTIFS(A_PERS,Partecipanti!$B$5,A_SETT,$A61,A_TIPO,"Licenza - settimana intera")+COUNTIFS(A_PERS,Partecipanti!$B$5,A_SETT,$A61,A_TIPO,"Attività esterna - settimana intera")&gt;0,0,1)</f>
        <v/>
      </c>
      <c r="H61">
        <f>IF(COUNTIFS(A_PERS,Partecipanti!$B$6,A_DATA,$B61)+COUNTIFS(A_PERS,Partecipanti!$B$6,A_SETT,$A61,A_TIPO,"Licenza - settimana intera")+COUNTIFS(A_PERS,Partecipanti!$B$6,A_SETT,$A61,A_TIPO,"Attività esterna - settimana intera")&gt;0,0,1)</f>
        <v/>
      </c>
      <c r="I61">
        <f>IF(COUNTIFS(A_PERS,Partecipanti!$B$7,A_DATA,$B61)+COUNTIFS(A_PERS,Partecipanti!$B$7,A_SETT,$A61,A_TIPO,"Licenza - settimana intera")+COUNTIFS(A_PERS,Partecipanti!$B$7,A_SETT,$A61,A_TIPO,"Attività esterna - settimana intera")&gt;0,0,1)</f>
        <v/>
      </c>
      <c r="J61">
        <f>IF(COUNTIFS(A_PERS,Partecipanti!$B$8,A_DATA,$B61)+COUNTIFS(A_PERS,Partecipanti!$B$8,A_SETT,$A61,A_TIPO,"Licenza - settimana intera")+COUNTIFS(A_PERS,Partecipanti!$B$8,A_SETT,$A61,A_TIPO,"Attività esterna - settimana intera")&gt;0,0,1)</f>
        <v/>
      </c>
      <c r="K61">
        <f>IF(COUNTIFS(A_PERS,Partecipanti!$B$9,A_DATA,$B61)+COUNTIFS(A_PERS,Partecipanti!$B$9,A_SETT,$A61,A_TIPO,"Licenza - settimana intera")+COUNTIFS(A_PERS,Partecipanti!$B$9,A_SETT,$A61,A_TIPO,"Attività esterna - settimana intera")&gt;0,0,1)</f>
        <v/>
      </c>
      <c r="L61">
        <f>IFERROR(INDEX($C56:$C60,MATCH(1,INDEX(($T56:$T60=$C61)*1,0),0)),"")</f>
        <v/>
      </c>
      <c r="M61">
        <f>IF($L61="",0,IF(INDEX($G61:$K61,MATCH($L61,Partecipanti!$B$5:$B$9,0))=1,1,0))</f>
        <v/>
      </c>
      <c r="N61">
        <f>IF($G61=0,100000,IF(Partecipanti!$B$5=$C61,100000,COUNTIF($S$6:$S60,Partecipanti!$B$5)*100+MOD(1-MATCH($C61,Partecipanti!$B$5:$B$9,0)-1,5)))</f>
        <v/>
      </c>
      <c r="O61">
        <f>IF($H61=0,100000,IF(Partecipanti!$B$6=$C61,100000,COUNTIF($S$6:$S60,Partecipanti!$B$6)*100+MOD(2-MATCH($C61,Partecipanti!$B$5:$B$9,0)-1,5)))</f>
        <v/>
      </c>
      <c r="P61">
        <f>IF($I61=0,100000,IF(Partecipanti!$B$7=$C61,100000,COUNTIF($S$6:$S60,Partecipanti!$B$7)*100+MOD(3-MATCH($C61,Partecipanti!$B$5:$B$9,0)-1,5)))</f>
        <v/>
      </c>
      <c r="Q61">
        <f>IF($J61=0,100000,IF(Partecipanti!$B$8=$C61,100000,COUNTIF($S$6:$S60,Partecipanti!$B$8)*100+MOD(4-MATCH($C61,Partecipanti!$B$5:$B$9,0)-1,5)))</f>
        <v/>
      </c>
      <c r="R61">
        <f>IF($K61=0,100000,IF(Partecipanti!$B$9=$C61,100000,COUNTIF($S$6:$S60,Partecipanti!$B$9)*100+MOD(5-MATCH($C61,Partecipanti!$B$5:$B$9,0)-1,5)))</f>
        <v/>
      </c>
      <c r="S61">
        <f>IF(OR($E61=0,$M61=1),"",IF(MIN($N61:$R61)&gt;=100000,"DA ASSEGNARE",INDEX(Partecipanti!$B$5:$B$9,MATCH(MIN($N61:$R61),$N61:$R61,0))))</f>
        <v/>
      </c>
      <c r="T61">
        <f>IF(AND($F61=1,$S61&lt;&gt;"",$S61&lt;&gt;"DA ASSEGNARE"),$S61,"")</f>
        <v/>
      </c>
      <c r="U61">
        <f>IF($M61=1,$L61,IF($E61=0,$C61,$S61))</f>
        <v/>
      </c>
      <c r="V61">
        <f>IF($M61=1,"Recupero",IF($E61=0,"Ordinario",IF($S61="DA ASSEGNARE","DA ASSEGNARE","Sostituzione (doppio turno)")))</f>
        <v/>
      </c>
      <c r="W61">
        <f>IF(OR($M61=1,$E61=1),$C61,"")</f>
        <v/>
      </c>
      <c r="X61">
        <f>IF($M61=1,$L61&amp;" recupera il turno saltato nella settimana "&amp;($A61-1)&amp;"; "&amp;$C61&amp;" a riposo compensativo",IF($E61=1,$C61&amp;" assente ("&amp;$D61&amp;")"&amp;IF($S61="DA ASSEGNARE","; nessun sostituto disponibile","; sostituisce "&amp;$S61&amp;" con doppio turno")&amp;IF($F61=1,"; turno da recuperare nella settimana "&amp;($A61+1),"; turno non da recuperare"),""))</f>
        <v/>
      </c>
      <c r="Y61">
        <f>IF($M61=1,"recupera il turno saltato nella settimana "&amp;($A61-1)&amp;", "&amp;$C61&amp;" a riposo",IF($E61=1,IF($S61="DA ASSEGNARE","turno da assegnare: "&amp;$C61&amp;" assente","in sostituzione di "&amp;$C61&amp;", doppio turno"),""))</f>
        <v/>
      </c>
    </row>
    <row r="62">
      <c r="A62" t="n">
        <v>12</v>
      </c>
      <c r="B62" s="43" t="n">
        <v>46371</v>
      </c>
      <c r="C62">
        <f>Partecipanti!$B$6</f>
        <v/>
      </c>
      <c r="D62">
        <f>IF(COUNTIFS(A_PERS,$C62,A_SETT,$A62,A_TIPO,"Licenza - settimana intera")&gt;0,"Licenza - settimana intera",IF(COUNTIFS(A_PERS,$C62,A_SETT,$A62,A_TIPO,"Attività esterna - settimana intera")&gt;0,"Attività esterna - settimana intera",IF(COUNTIFS(A_PERS,$C62,A_DATA,$B62)&gt;0,INDEX(A_TIPO,MATCH(1,INDEX((A_PERS=$C62)*(A_DATA=$B62),0),0)),"")))</f>
        <v/>
      </c>
      <c r="E62">
        <f>IF($D62="",0,1)</f>
        <v/>
      </c>
      <c r="F62">
        <f>IF($E62=0,0,IF(OR($D62="Licenza - settimana intera",$D62="Attività esterna - settimana intera"),0,1))</f>
        <v/>
      </c>
      <c r="G62">
        <f>IF(COUNTIFS(A_PERS,Partecipanti!$B$5,A_DATA,$B62)+COUNTIFS(A_PERS,Partecipanti!$B$5,A_SETT,$A62,A_TIPO,"Licenza - settimana intera")+COUNTIFS(A_PERS,Partecipanti!$B$5,A_SETT,$A62,A_TIPO,"Attività esterna - settimana intera")&gt;0,0,1)</f>
        <v/>
      </c>
      <c r="H62">
        <f>IF(COUNTIFS(A_PERS,Partecipanti!$B$6,A_DATA,$B62)+COUNTIFS(A_PERS,Partecipanti!$B$6,A_SETT,$A62,A_TIPO,"Licenza - settimana intera")+COUNTIFS(A_PERS,Partecipanti!$B$6,A_SETT,$A62,A_TIPO,"Attività esterna - settimana intera")&gt;0,0,1)</f>
        <v/>
      </c>
      <c r="I62">
        <f>IF(COUNTIFS(A_PERS,Partecipanti!$B$7,A_DATA,$B62)+COUNTIFS(A_PERS,Partecipanti!$B$7,A_SETT,$A62,A_TIPO,"Licenza - settimana intera")+COUNTIFS(A_PERS,Partecipanti!$B$7,A_SETT,$A62,A_TIPO,"Attività esterna - settimana intera")&gt;0,0,1)</f>
        <v/>
      </c>
      <c r="J62">
        <f>IF(COUNTIFS(A_PERS,Partecipanti!$B$8,A_DATA,$B62)+COUNTIFS(A_PERS,Partecipanti!$B$8,A_SETT,$A62,A_TIPO,"Licenza - settimana intera")+COUNTIFS(A_PERS,Partecipanti!$B$8,A_SETT,$A62,A_TIPO,"Attività esterna - settimana intera")&gt;0,0,1)</f>
        <v/>
      </c>
      <c r="K62">
        <f>IF(COUNTIFS(A_PERS,Partecipanti!$B$9,A_DATA,$B62)+COUNTIFS(A_PERS,Partecipanti!$B$9,A_SETT,$A62,A_TIPO,"Licenza - settimana intera")+COUNTIFS(A_PERS,Partecipanti!$B$9,A_SETT,$A62,A_TIPO,"Attività esterna - settimana intera")&gt;0,0,1)</f>
        <v/>
      </c>
      <c r="L62">
        <f>IFERROR(INDEX($C56:$C60,MATCH(1,INDEX(($T56:$T60=$C62)*1,0),0)),"")</f>
        <v/>
      </c>
      <c r="M62">
        <f>IF($L62="",0,IF(INDEX($G62:$K62,MATCH($L62,Partecipanti!$B$5:$B$9,0))=1,1,0))</f>
        <v/>
      </c>
      <c r="N62">
        <f>IF($G62=0,100000,IF(Partecipanti!$B$5=$C62,100000,COUNTIF($S$6:$S61,Partecipanti!$B$5)*100+MOD(1-MATCH($C62,Partecipanti!$B$5:$B$9,0)-1,5)))</f>
        <v/>
      </c>
      <c r="O62">
        <f>IF($H62=0,100000,IF(Partecipanti!$B$6=$C62,100000,COUNTIF($S$6:$S61,Partecipanti!$B$6)*100+MOD(2-MATCH($C62,Partecipanti!$B$5:$B$9,0)-1,5)))</f>
        <v/>
      </c>
      <c r="P62">
        <f>IF($I62=0,100000,IF(Partecipanti!$B$7=$C62,100000,COUNTIF($S$6:$S61,Partecipanti!$B$7)*100+MOD(3-MATCH($C62,Partecipanti!$B$5:$B$9,0)-1,5)))</f>
        <v/>
      </c>
      <c r="Q62">
        <f>IF($J62=0,100000,IF(Partecipanti!$B$8=$C62,100000,COUNTIF($S$6:$S61,Partecipanti!$B$8)*100+MOD(4-MATCH($C62,Partecipanti!$B$5:$B$9,0)-1,5)))</f>
        <v/>
      </c>
      <c r="R62">
        <f>IF($K62=0,100000,IF(Partecipanti!$B$9=$C62,100000,COUNTIF($S$6:$S61,Partecipanti!$B$9)*100+MOD(5-MATCH($C62,Partecipanti!$B$5:$B$9,0)-1,5)))</f>
        <v/>
      </c>
      <c r="S62">
        <f>IF(OR($E62=0,$M62=1),"",IF(MIN($N62:$R62)&gt;=100000,"DA ASSEGNARE",INDEX(Partecipanti!$B$5:$B$9,MATCH(MIN($N62:$R62),$N62:$R62,0))))</f>
        <v/>
      </c>
      <c r="T62">
        <f>IF(AND($F62=1,$S62&lt;&gt;"",$S62&lt;&gt;"DA ASSEGNARE"),$S62,"")</f>
        <v/>
      </c>
      <c r="U62">
        <f>IF($M62=1,$L62,IF($E62=0,$C62,$S62))</f>
        <v/>
      </c>
      <c r="V62">
        <f>IF($M62=1,"Recupero",IF($E62=0,"Ordinario",IF($S62="DA ASSEGNARE","DA ASSEGNARE","Sostituzione (doppio turno)")))</f>
        <v/>
      </c>
      <c r="W62">
        <f>IF(OR($M62=1,$E62=1),$C62,"")</f>
        <v/>
      </c>
      <c r="X62">
        <f>IF($M62=1,$L62&amp;" recupera il turno saltato nella settimana "&amp;($A62-1)&amp;"; "&amp;$C62&amp;" a riposo compensativo",IF($E62=1,$C62&amp;" assente ("&amp;$D62&amp;")"&amp;IF($S62="DA ASSEGNARE","; nessun sostituto disponibile","; sostituisce "&amp;$S62&amp;" con doppio turno")&amp;IF($F62=1,"; turno da recuperare nella settimana "&amp;($A62+1),"; turno non da recuperare"),""))</f>
        <v/>
      </c>
      <c r="Y62">
        <f>IF($M62=1,"recupera il turno saltato nella settimana "&amp;($A62-1)&amp;", "&amp;$C62&amp;" a riposo",IF($E62=1,IF($S62="DA ASSEGNARE","turno da assegnare: "&amp;$C62&amp;" assente","in sostituzione di "&amp;$C62&amp;", doppio turno"),""))</f>
        <v/>
      </c>
    </row>
    <row r="63">
      <c r="A63" t="n">
        <v>12</v>
      </c>
      <c r="B63" s="43" t="n">
        <v>46372</v>
      </c>
      <c r="C63">
        <f>Partecipanti!$B$7</f>
        <v/>
      </c>
      <c r="D63">
        <f>IF(COUNTIFS(A_PERS,$C63,A_SETT,$A63,A_TIPO,"Licenza - settimana intera")&gt;0,"Licenza - settimana intera",IF(COUNTIFS(A_PERS,$C63,A_SETT,$A63,A_TIPO,"Attività esterna - settimana intera")&gt;0,"Attività esterna - settimana intera",IF(COUNTIFS(A_PERS,$C63,A_DATA,$B63)&gt;0,INDEX(A_TIPO,MATCH(1,INDEX((A_PERS=$C63)*(A_DATA=$B63),0),0)),"")))</f>
        <v/>
      </c>
      <c r="E63">
        <f>IF($D63="",0,1)</f>
        <v/>
      </c>
      <c r="F63">
        <f>IF($E63=0,0,IF(OR($D63="Licenza - settimana intera",$D63="Attività esterna - settimana intera"),0,1))</f>
        <v/>
      </c>
      <c r="G63">
        <f>IF(COUNTIFS(A_PERS,Partecipanti!$B$5,A_DATA,$B63)+COUNTIFS(A_PERS,Partecipanti!$B$5,A_SETT,$A63,A_TIPO,"Licenza - settimana intera")+COUNTIFS(A_PERS,Partecipanti!$B$5,A_SETT,$A63,A_TIPO,"Attività esterna - settimana intera")&gt;0,0,1)</f>
        <v/>
      </c>
      <c r="H63">
        <f>IF(COUNTIFS(A_PERS,Partecipanti!$B$6,A_DATA,$B63)+COUNTIFS(A_PERS,Partecipanti!$B$6,A_SETT,$A63,A_TIPO,"Licenza - settimana intera")+COUNTIFS(A_PERS,Partecipanti!$B$6,A_SETT,$A63,A_TIPO,"Attività esterna - settimana intera")&gt;0,0,1)</f>
        <v/>
      </c>
      <c r="I63">
        <f>IF(COUNTIFS(A_PERS,Partecipanti!$B$7,A_DATA,$B63)+COUNTIFS(A_PERS,Partecipanti!$B$7,A_SETT,$A63,A_TIPO,"Licenza - settimana intera")+COUNTIFS(A_PERS,Partecipanti!$B$7,A_SETT,$A63,A_TIPO,"Attività esterna - settimana intera")&gt;0,0,1)</f>
        <v/>
      </c>
      <c r="J63">
        <f>IF(COUNTIFS(A_PERS,Partecipanti!$B$8,A_DATA,$B63)+COUNTIFS(A_PERS,Partecipanti!$B$8,A_SETT,$A63,A_TIPO,"Licenza - settimana intera")+COUNTIFS(A_PERS,Partecipanti!$B$8,A_SETT,$A63,A_TIPO,"Attività esterna - settimana intera")&gt;0,0,1)</f>
        <v/>
      </c>
      <c r="K63">
        <f>IF(COUNTIFS(A_PERS,Partecipanti!$B$9,A_DATA,$B63)+COUNTIFS(A_PERS,Partecipanti!$B$9,A_SETT,$A63,A_TIPO,"Licenza - settimana intera")+COUNTIFS(A_PERS,Partecipanti!$B$9,A_SETT,$A63,A_TIPO,"Attività esterna - settimana intera")&gt;0,0,1)</f>
        <v/>
      </c>
      <c r="L63">
        <f>IFERROR(INDEX($C56:$C60,MATCH(1,INDEX(($T56:$T60=$C63)*1,0),0)),"")</f>
        <v/>
      </c>
      <c r="M63">
        <f>IF($L63="",0,IF(INDEX($G63:$K63,MATCH($L63,Partecipanti!$B$5:$B$9,0))=1,1,0))</f>
        <v/>
      </c>
      <c r="N63">
        <f>IF($G63=0,100000,IF(Partecipanti!$B$5=$C63,100000,COUNTIF($S$6:$S62,Partecipanti!$B$5)*100+MOD(1-MATCH($C63,Partecipanti!$B$5:$B$9,0)-1,5)))</f>
        <v/>
      </c>
      <c r="O63">
        <f>IF($H63=0,100000,IF(Partecipanti!$B$6=$C63,100000,COUNTIF($S$6:$S62,Partecipanti!$B$6)*100+MOD(2-MATCH($C63,Partecipanti!$B$5:$B$9,0)-1,5)))</f>
        <v/>
      </c>
      <c r="P63">
        <f>IF($I63=0,100000,IF(Partecipanti!$B$7=$C63,100000,COUNTIF($S$6:$S62,Partecipanti!$B$7)*100+MOD(3-MATCH($C63,Partecipanti!$B$5:$B$9,0)-1,5)))</f>
        <v/>
      </c>
      <c r="Q63">
        <f>IF($J63=0,100000,IF(Partecipanti!$B$8=$C63,100000,COUNTIF($S$6:$S62,Partecipanti!$B$8)*100+MOD(4-MATCH($C63,Partecipanti!$B$5:$B$9,0)-1,5)))</f>
        <v/>
      </c>
      <c r="R63">
        <f>IF($K63=0,100000,IF(Partecipanti!$B$9=$C63,100000,COUNTIF($S$6:$S62,Partecipanti!$B$9)*100+MOD(5-MATCH($C63,Partecipanti!$B$5:$B$9,0)-1,5)))</f>
        <v/>
      </c>
      <c r="S63">
        <f>IF(OR($E63=0,$M63=1),"",IF(MIN($N63:$R63)&gt;=100000,"DA ASSEGNARE",INDEX(Partecipanti!$B$5:$B$9,MATCH(MIN($N63:$R63),$N63:$R63,0))))</f>
        <v/>
      </c>
      <c r="T63">
        <f>IF(AND($F63=1,$S63&lt;&gt;"",$S63&lt;&gt;"DA ASSEGNARE"),$S63,"")</f>
        <v/>
      </c>
      <c r="U63">
        <f>IF($M63=1,$L63,IF($E63=0,$C63,$S63))</f>
        <v/>
      </c>
      <c r="V63">
        <f>IF($M63=1,"Recupero",IF($E63=0,"Ordinario",IF($S63="DA ASSEGNARE","DA ASSEGNARE","Sostituzione (doppio turno)")))</f>
        <v/>
      </c>
      <c r="W63">
        <f>IF(OR($M63=1,$E63=1),$C63,"")</f>
        <v/>
      </c>
      <c r="X63">
        <f>IF($M63=1,$L63&amp;" recupera il turno saltato nella settimana "&amp;($A63-1)&amp;"; "&amp;$C63&amp;" a riposo compensativo",IF($E63=1,$C63&amp;" assente ("&amp;$D63&amp;")"&amp;IF($S63="DA ASSEGNARE","; nessun sostituto disponibile","; sostituisce "&amp;$S63&amp;" con doppio turno")&amp;IF($F63=1,"; turno da recuperare nella settimana "&amp;($A63+1),"; turno non da recuperare"),""))</f>
        <v/>
      </c>
      <c r="Y63">
        <f>IF($M63=1,"recupera il turno saltato nella settimana "&amp;($A63-1)&amp;", "&amp;$C63&amp;" a riposo",IF($E63=1,IF($S63="DA ASSEGNARE","turno da assegnare: "&amp;$C63&amp;" assente","in sostituzione di "&amp;$C63&amp;", doppio turno"),""))</f>
        <v/>
      </c>
    </row>
    <row r="64">
      <c r="A64" t="n">
        <v>12</v>
      </c>
      <c r="B64" s="43" t="n">
        <v>46373</v>
      </c>
      <c r="C64">
        <f>Partecipanti!$B$8</f>
        <v/>
      </c>
      <c r="D64">
        <f>IF(COUNTIFS(A_PERS,$C64,A_SETT,$A64,A_TIPO,"Licenza - settimana intera")&gt;0,"Licenza - settimana intera",IF(COUNTIFS(A_PERS,$C64,A_SETT,$A64,A_TIPO,"Attività esterna - settimana intera")&gt;0,"Attività esterna - settimana intera",IF(COUNTIFS(A_PERS,$C64,A_DATA,$B64)&gt;0,INDEX(A_TIPO,MATCH(1,INDEX((A_PERS=$C64)*(A_DATA=$B64),0),0)),"")))</f>
        <v/>
      </c>
      <c r="E64">
        <f>IF($D64="",0,1)</f>
        <v/>
      </c>
      <c r="F64">
        <f>IF($E64=0,0,IF(OR($D64="Licenza - settimana intera",$D64="Attività esterna - settimana intera"),0,1))</f>
        <v/>
      </c>
      <c r="G64">
        <f>IF(COUNTIFS(A_PERS,Partecipanti!$B$5,A_DATA,$B64)+COUNTIFS(A_PERS,Partecipanti!$B$5,A_SETT,$A64,A_TIPO,"Licenza - settimana intera")+COUNTIFS(A_PERS,Partecipanti!$B$5,A_SETT,$A64,A_TIPO,"Attività esterna - settimana intera")&gt;0,0,1)</f>
        <v/>
      </c>
      <c r="H64">
        <f>IF(COUNTIFS(A_PERS,Partecipanti!$B$6,A_DATA,$B64)+COUNTIFS(A_PERS,Partecipanti!$B$6,A_SETT,$A64,A_TIPO,"Licenza - settimana intera")+COUNTIFS(A_PERS,Partecipanti!$B$6,A_SETT,$A64,A_TIPO,"Attività esterna - settimana intera")&gt;0,0,1)</f>
        <v/>
      </c>
      <c r="I64">
        <f>IF(COUNTIFS(A_PERS,Partecipanti!$B$7,A_DATA,$B64)+COUNTIFS(A_PERS,Partecipanti!$B$7,A_SETT,$A64,A_TIPO,"Licenza - settimana intera")+COUNTIFS(A_PERS,Partecipanti!$B$7,A_SETT,$A64,A_TIPO,"Attività esterna - settimana intera")&gt;0,0,1)</f>
        <v/>
      </c>
      <c r="J64">
        <f>IF(COUNTIFS(A_PERS,Partecipanti!$B$8,A_DATA,$B64)+COUNTIFS(A_PERS,Partecipanti!$B$8,A_SETT,$A64,A_TIPO,"Licenza - settimana intera")+COUNTIFS(A_PERS,Partecipanti!$B$8,A_SETT,$A64,A_TIPO,"Attività esterna - settimana intera")&gt;0,0,1)</f>
        <v/>
      </c>
      <c r="K64">
        <f>IF(COUNTIFS(A_PERS,Partecipanti!$B$9,A_DATA,$B64)+COUNTIFS(A_PERS,Partecipanti!$B$9,A_SETT,$A64,A_TIPO,"Licenza - settimana intera")+COUNTIFS(A_PERS,Partecipanti!$B$9,A_SETT,$A64,A_TIPO,"Attività esterna - settimana intera")&gt;0,0,1)</f>
        <v/>
      </c>
      <c r="L64">
        <f>IFERROR(INDEX($C56:$C60,MATCH(1,INDEX(($T56:$T60=$C64)*1,0),0)),"")</f>
        <v/>
      </c>
      <c r="M64">
        <f>IF($L64="",0,IF(INDEX($G64:$K64,MATCH($L64,Partecipanti!$B$5:$B$9,0))=1,1,0))</f>
        <v/>
      </c>
      <c r="N64">
        <f>IF($G64=0,100000,IF(Partecipanti!$B$5=$C64,100000,COUNTIF($S$6:$S63,Partecipanti!$B$5)*100+MOD(1-MATCH($C64,Partecipanti!$B$5:$B$9,0)-1,5)))</f>
        <v/>
      </c>
      <c r="O64">
        <f>IF($H64=0,100000,IF(Partecipanti!$B$6=$C64,100000,COUNTIF($S$6:$S63,Partecipanti!$B$6)*100+MOD(2-MATCH($C64,Partecipanti!$B$5:$B$9,0)-1,5)))</f>
        <v/>
      </c>
      <c r="P64">
        <f>IF($I64=0,100000,IF(Partecipanti!$B$7=$C64,100000,COUNTIF($S$6:$S63,Partecipanti!$B$7)*100+MOD(3-MATCH($C64,Partecipanti!$B$5:$B$9,0)-1,5)))</f>
        <v/>
      </c>
      <c r="Q64">
        <f>IF($J64=0,100000,IF(Partecipanti!$B$8=$C64,100000,COUNTIF($S$6:$S63,Partecipanti!$B$8)*100+MOD(4-MATCH($C64,Partecipanti!$B$5:$B$9,0)-1,5)))</f>
        <v/>
      </c>
      <c r="R64">
        <f>IF($K64=0,100000,IF(Partecipanti!$B$9=$C64,100000,COUNTIF($S$6:$S63,Partecipanti!$B$9)*100+MOD(5-MATCH($C64,Partecipanti!$B$5:$B$9,0)-1,5)))</f>
        <v/>
      </c>
      <c r="S64">
        <f>IF(OR($E64=0,$M64=1),"",IF(MIN($N64:$R64)&gt;=100000,"DA ASSEGNARE",INDEX(Partecipanti!$B$5:$B$9,MATCH(MIN($N64:$R64),$N64:$R64,0))))</f>
        <v/>
      </c>
      <c r="T64">
        <f>IF(AND($F64=1,$S64&lt;&gt;"",$S64&lt;&gt;"DA ASSEGNARE"),$S64,"")</f>
        <v/>
      </c>
      <c r="U64">
        <f>IF($M64=1,$L64,IF($E64=0,$C64,$S64))</f>
        <v/>
      </c>
      <c r="V64">
        <f>IF($M64=1,"Recupero",IF($E64=0,"Ordinario",IF($S64="DA ASSEGNARE","DA ASSEGNARE","Sostituzione (doppio turno)")))</f>
        <v/>
      </c>
      <c r="W64">
        <f>IF(OR($M64=1,$E64=1),$C64,"")</f>
        <v/>
      </c>
      <c r="X64">
        <f>IF($M64=1,$L64&amp;" recupera il turno saltato nella settimana "&amp;($A64-1)&amp;"; "&amp;$C64&amp;" a riposo compensativo",IF($E64=1,$C64&amp;" assente ("&amp;$D64&amp;")"&amp;IF($S64="DA ASSEGNARE","; nessun sostituto disponibile","; sostituisce "&amp;$S64&amp;" con doppio turno")&amp;IF($F64=1,"; turno da recuperare nella settimana "&amp;($A64+1),"; turno non da recuperare"),""))</f>
        <v/>
      </c>
      <c r="Y64">
        <f>IF($M64=1,"recupera il turno saltato nella settimana "&amp;($A64-1)&amp;", "&amp;$C64&amp;" a riposo",IF($E64=1,IF($S64="DA ASSEGNARE","turno da assegnare: "&amp;$C64&amp;" assente","in sostituzione di "&amp;$C64&amp;", doppio turno"),""))</f>
        <v/>
      </c>
    </row>
    <row r="65">
      <c r="A65" t="n">
        <v>12</v>
      </c>
      <c r="B65" s="43" t="n">
        <v>46374</v>
      </c>
      <c r="C65">
        <f>Partecipanti!$B$9</f>
        <v/>
      </c>
      <c r="D65">
        <f>IF(COUNTIFS(A_PERS,$C65,A_SETT,$A65,A_TIPO,"Licenza - settimana intera")&gt;0,"Licenza - settimana intera",IF(COUNTIFS(A_PERS,$C65,A_SETT,$A65,A_TIPO,"Attività esterna - settimana intera")&gt;0,"Attività esterna - settimana intera",IF(COUNTIFS(A_PERS,$C65,A_DATA,$B65)&gt;0,INDEX(A_TIPO,MATCH(1,INDEX((A_PERS=$C65)*(A_DATA=$B65),0),0)),"")))</f>
        <v/>
      </c>
      <c r="E65">
        <f>IF($D65="",0,1)</f>
        <v/>
      </c>
      <c r="F65">
        <f>IF($E65=0,0,IF(OR($D65="Licenza - settimana intera",$D65="Attività esterna - settimana intera"),0,1))</f>
        <v/>
      </c>
      <c r="G65">
        <f>IF(COUNTIFS(A_PERS,Partecipanti!$B$5,A_DATA,$B65)+COUNTIFS(A_PERS,Partecipanti!$B$5,A_SETT,$A65,A_TIPO,"Licenza - settimana intera")+COUNTIFS(A_PERS,Partecipanti!$B$5,A_SETT,$A65,A_TIPO,"Attività esterna - settimana intera")&gt;0,0,1)</f>
        <v/>
      </c>
      <c r="H65">
        <f>IF(COUNTIFS(A_PERS,Partecipanti!$B$6,A_DATA,$B65)+COUNTIFS(A_PERS,Partecipanti!$B$6,A_SETT,$A65,A_TIPO,"Licenza - settimana intera")+COUNTIFS(A_PERS,Partecipanti!$B$6,A_SETT,$A65,A_TIPO,"Attività esterna - settimana intera")&gt;0,0,1)</f>
        <v/>
      </c>
      <c r="I65">
        <f>IF(COUNTIFS(A_PERS,Partecipanti!$B$7,A_DATA,$B65)+COUNTIFS(A_PERS,Partecipanti!$B$7,A_SETT,$A65,A_TIPO,"Licenza - settimana intera")+COUNTIFS(A_PERS,Partecipanti!$B$7,A_SETT,$A65,A_TIPO,"Attività esterna - settimana intera")&gt;0,0,1)</f>
        <v/>
      </c>
      <c r="J65">
        <f>IF(COUNTIFS(A_PERS,Partecipanti!$B$8,A_DATA,$B65)+COUNTIFS(A_PERS,Partecipanti!$B$8,A_SETT,$A65,A_TIPO,"Licenza - settimana intera")+COUNTIFS(A_PERS,Partecipanti!$B$8,A_SETT,$A65,A_TIPO,"Attività esterna - settimana intera")&gt;0,0,1)</f>
        <v/>
      </c>
      <c r="K65">
        <f>IF(COUNTIFS(A_PERS,Partecipanti!$B$9,A_DATA,$B65)+COUNTIFS(A_PERS,Partecipanti!$B$9,A_SETT,$A65,A_TIPO,"Licenza - settimana intera")+COUNTIFS(A_PERS,Partecipanti!$B$9,A_SETT,$A65,A_TIPO,"Attività esterna - settimana intera")&gt;0,0,1)</f>
        <v/>
      </c>
      <c r="L65">
        <f>IFERROR(INDEX($C56:$C60,MATCH(1,INDEX(($T56:$T60=$C65)*1,0),0)),"")</f>
        <v/>
      </c>
      <c r="M65">
        <f>IF($L65="",0,IF(INDEX($G65:$K65,MATCH($L65,Partecipanti!$B$5:$B$9,0))=1,1,0))</f>
        <v/>
      </c>
      <c r="N65">
        <f>IF($G65=0,100000,IF(Partecipanti!$B$5=$C65,100000,COUNTIF($S$6:$S64,Partecipanti!$B$5)*100+MOD(1-MATCH($C65,Partecipanti!$B$5:$B$9,0)-1,5)))</f>
        <v/>
      </c>
      <c r="O65">
        <f>IF($H65=0,100000,IF(Partecipanti!$B$6=$C65,100000,COUNTIF($S$6:$S64,Partecipanti!$B$6)*100+MOD(2-MATCH($C65,Partecipanti!$B$5:$B$9,0)-1,5)))</f>
        <v/>
      </c>
      <c r="P65">
        <f>IF($I65=0,100000,IF(Partecipanti!$B$7=$C65,100000,COUNTIF($S$6:$S64,Partecipanti!$B$7)*100+MOD(3-MATCH($C65,Partecipanti!$B$5:$B$9,0)-1,5)))</f>
        <v/>
      </c>
      <c r="Q65">
        <f>IF($J65=0,100000,IF(Partecipanti!$B$8=$C65,100000,COUNTIF($S$6:$S64,Partecipanti!$B$8)*100+MOD(4-MATCH($C65,Partecipanti!$B$5:$B$9,0)-1,5)))</f>
        <v/>
      </c>
      <c r="R65">
        <f>IF($K65=0,100000,IF(Partecipanti!$B$9=$C65,100000,COUNTIF($S$6:$S64,Partecipanti!$B$9)*100+MOD(5-MATCH($C65,Partecipanti!$B$5:$B$9,0)-1,5)))</f>
        <v/>
      </c>
      <c r="S65">
        <f>IF(OR($E65=0,$M65=1),"",IF(MIN($N65:$R65)&gt;=100000,"DA ASSEGNARE",INDEX(Partecipanti!$B$5:$B$9,MATCH(MIN($N65:$R65),$N65:$R65,0))))</f>
        <v/>
      </c>
      <c r="T65">
        <f>IF(AND($F65=1,$S65&lt;&gt;"",$S65&lt;&gt;"DA ASSEGNARE"),$S65,"")</f>
        <v/>
      </c>
      <c r="U65">
        <f>IF($M65=1,$L65,IF($E65=0,$C65,$S65))</f>
        <v/>
      </c>
      <c r="V65">
        <f>IF($M65=1,"Recupero",IF($E65=0,"Ordinario",IF($S65="DA ASSEGNARE","DA ASSEGNARE","Sostituzione (doppio turno)")))</f>
        <v/>
      </c>
      <c r="W65">
        <f>IF(OR($M65=1,$E65=1),$C65,"")</f>
        <v/>
      </c>
      <c r="X65">
        <f>IF($M65=1,$L65&amp;" recupera il turno saltato nella settimana "&amp;($A65-1)&amp;"; "&amp;$C65&amp;" a riposo compensativo",IF($E65=1,$C65&amp;" assente ("&amp;$D65&amp;")"&amp;IF($S65="DA ASSEGNARE","; nessun sostituto disponibile","; sostituisce "&amp;$S65&amp;" con doppio turno")&amp;IF($F65=1,"; turno da recuperare nella settimana "&amp;($A65+1),"; turno non da recuperare"),""))</f>
        <v/>
      </c>
      <c r="Y65">
        <f>IF($M65=1,"recupera il turno saltato nella settimana "&amp;($A65-1)&amp;", "&amp;$C65&amp;" a riposo",IF($E65=1,IF($S65="DA ASSEGNARE","turno da assegnare: "&amp;$C65&amp;" assente","in sostituzione di "&amp;$C65&amp;", doppio turno"),""))</f>
        <v/>
      </c>
    </row>
    <row r="66">
      <c r="A66" t="n">
        <v>13</v>
      </c>
      <c r="B66" s="43" t="n">
        <v>46377</v>
      </c>
      <c r="C66">
        <f>Partecipanti!$B$5</f>
        <v/>
      </c>
      <c r="D66">
        <f>IF(COUNTIFS(A_PERS,$C66,A_SETT,$A66,A_TIPO,"Licenza - settimana intera")&gt;0,"Licenza - settimana intera",IF(COUNTIFS(A_PERS,$C66,A_SETT,$A66,A_TIPO,"Attività esterna - settimana intera")&gt;0,"Attività esterna - settimana intera",IF(COUNTIFS(A_PERS,$C66,A_DATA,$B66)&gt;0,INDEX(A_TIPO,MATCH(1,INDEX((A_PERS=$C66)*(A_DATA=$B66),0),0)),"")))</f>
        <v/>
      </c>
      <c r="E66">
        <f>IF($D66="",0,1)</f>
        <v/>
      </c>
      <c r="F66">
        <f>IF($E66=0,0,IF(OR($D66="Licenza - settimana intera",$D66="Attività esterna - settimana intera"),0,1))</f>
        <v/>
      </c>
      <c r="G66">
        <f>IF(COUNTIFS(A_PERS,Partecipanti!$B$5,A_DATA,$B66)+COUNTIFS(A_PERS,Partecipanti!$B$5,A_SETT,$A66,A_TIPO,"Licenza - settimana intera")+COUNTIFS(A_PERS,Partecipanti!$B$5,A_SETT,$A66,A_TIPO,"Attività esterna - settimana intera")&gt;0,0,1)</f>
        <v/>
      </c>
      <c r="H66">
        <f>IF(COUNTIFS(A_PERS,Partecipanti!$B$6,A_DATA,$B66)+COUNTIFS(A_PERS,Partecipanti!$B$6,A_SETT,$A66,A_TIPO,"Licenza - settimana intera")+COUNTIFS(A_PERS,Partecipanti!$B$6,A_SETT,$A66,A_TIPO,"Attività esterna - settimana intera")&gt;0,0,1)</f>
        <v/>
      </c>
      <c r="I66">
        <f>IF(COUNTIFS(A_PERS,Partecipanti!$B$7,A_DATA,$B66)+COUNTIFS(A_PERS,Partecipanti!$B$7,A_SETT,$A66,A_TIPO,"Licenza - settimana intera")+COUNTIFS(A_PERS,Partecipanti!$B$7,A_SETT,$A66,A_TIPO,"Attività esterna - settimana intera")&gt;0,0,1)</f>
        <v/>
      </c>
      <c r="J66">
        <f>IF(COUNTIFS(A_PERS,Partecipanti!$B$8,A_DATA,$B66)+COUNTIFS(A_PERS,Partecipanti!$B$8,A_SETT,$A66,A_TIPO,"Licenza - settimana intera")+COUNTIFS(A_PERS,Partecipanti!$B$8,A_SETT,$A66,A_TIPO,"Attività esterna - settimana intera")&gt;0,0,1)</f>
        <v/>
      </c>
      <c r="K66">
        <f>IF(COUNTIFS(A_PERS,Partecipanti!$B$9,A_DATA,$B66)+COUNTIFS(A_PERS,Partecipanti!$B$9,A_SETT,$A66,A_TIPO,"Licenza - settimana intera")+COUNTIFS(A_PERS,Partecipanti!$B$9,A_SETT,$A66,A_TIPO,"Attività esterna - settimana intera")&gt;0,0,1)</f>
        <v/>
      </c>
      <c r="L66">
        <f>IFERROR(INDEX($C61:$C65,MATCH(1,INDEX(($T61:$T65=$C66)*1,0),0)),"")</f>
        <v/>
      </c>
      <c r="M66">
        <f>IF($L66="",0,IF(INDEX($G66:$K66,MATCH($L66,Partecipanti!$B$5:$B$9,0))=1,1,0))</f>
        <v/>
      </c>
      <c r="N66">
        <f>IF($G66=0,100000,IF(Partecipanti!$B$5=$C66,100000,COUNTIF($S$6:$S65,Partecipanti!$B$5)*100+MOD(1-MATCH($C66,Partecipanti!$B$5:$B$9,0)-1,5)))</f>
        <v/>
      </c>
      <c r="O66">
        <f>IF($H66=0,100000,IF(Partecipanti!$B$6=$C66,100000,COUNTIF($S$6:$S65,Partecipanti!$B$6)*100+MOD(2-MATCH($C66,Partecipanti!$B$5:$B$9,0)-1,5)))</f>
        <v/>
      </c>
      <c r="P66">
        <f>IF($I66=0,100000,IF(Partecipanti!$B$7=$C66,100000,COUNTIF($S$6:$S65,Partecipanti!$B$7)*100+MOD(3-MATCH($C66,Partecipanti!$B$5:$B$9,0)-1,5)))</f>
        <v/>
      </c>
      <c r="Q66">
        <f>IF($J66=0,100000,IF(Partecipanti!$B$8=$C66,100000,COUNTIF($S$6:$S65,Partecipanti!$B$8)*100+MOD(4-MATCH($C66,Partecipanti!$B$5:$B$9,0)-1,5)))</f>
        <v/>
      </c>
      <c r="R66">
        <f>IF($K66=0,100000,IF(Partecipanti!$B$9=$C66,100000,COUNTIF($S$6:$S65,Partecipanti!$B$9)*100+MOD(5-MATCH($C66,Partecipanti!$B$5:$B$9,0)-1,5)))</f>
        <v/>
      </c>
      <c r="S66">
        <f>IF(OR($E66=0,$M66=1),"",IF(MIN($N66:$R66)&gt;=100000,"DA ASSEGNARE",INDEX(Partecipanti!$B$5:$B$9,MATCH(MIN($N66:$R66),$N66:$R66,0))))</f>
        <v/>
      </c>
      <c r="T66">
        <f>IF(AND($F66=1,$S66&lt;&gt;"",$S66&lt;&gt;"DA ASSEGNARE"),$S66,"")</f>
        <v/>
      </c>
      <c r="U66">
        <f>IF($M66=1,$L66,IF($E66=0,$C66,$S66))</f>
        <v/>
      </c>
      <c r="V66">
        <f>IF($M66=1,"Recupero",IF($E66=0,"Ordinario",IF($S66="DA ASSEGNARE","DA ASSEGNARE","Sostituzione (doppio turno)")))</f>
        <v/>
      </c>
      <c r="W66">
        <f>IF(OR($M66=1,$E66=1),$C66,"")</f>
        <v/>
      </c>
      <c r="X66">
        <f>IF($M66=1,$L66&amp;" recupera il turno saltato nella settimana "&amp;($A66-1)&amp;"; "&amp;$C66&amp;" a riposo compensativo",IF($E66=1,$C66&amp;" assente ("&amp;$D66&amp;")"&amp;IF($S66="DA ASSEGNARE","; nessun sostituto disponibile","; sostituisce "&amp;$S66&amp;" con doppio turno")&amp;IF($F66=1,"; turno da recuperare nella settimana "&amp;($A66+1),"; turno non da recuperare"),""))</f>
        <v/>
      </c>
      <c r="Y66">
        <f>IF($M66=1,"recupera il turno saltato nella settimana "&amp;($A66-1)&amp;", "&amp;$C66&amp;" a riposo",IF($E66=1,IF($S66="DA ASSEGNARE","turno da assegnare: "&amp;$C66&amp;" assente","in sostituzione di "&amp;$C66&amp;", doppio turno"),""))</f>
        <v/>
      </c>
    </row>
    <row r="67">
      <c r="A67" t="n">
        <v>13</v>
      </c>
      <c r="B67" s="43" t="n">
        <v>46378</v>
      </c>
      <c r="C67">
        <f>Partecipanti!$B$6</f>
        <v/>
      </c>
      <c r="D67">
        <f>IF(COUNTIFS(A_PERS,$C67,A_SETT,$A67,A_TIPO,"Licenza - settimana intera")&gt;0,"Licenza - settimana intera",IF(COUNTIFS(A_PERS,$C67,A_SETT,$A67,A_TIPO,"Attività esterna - settimana intera")&gt;0,"Attività esterna - settimana intera",IF(COUNTIFS(A_PERS,$C67,A_DATA,$B67)&gt;0,INDEX(A_TIPO,MATCH(1,INDEX((A_PERS=$C67)*(A_DATA=$B67),0),0)),"")))</f>
        <v/>
      </c>
      <c r="E67">
        <f>IF($D67="",0,1)</f>
        <v/>
      </c>
      <c r="F67">
        <f>IF($E67=0,0,IF(OR($D67="Licenza - settimana intera",$D67="Attività esterna - settimana intera"),0,1))</f>
        <v/>
      </c>
      <c r="G67">
        <f>IF(COUNTIFS(A_PERS,Partecipanti!$B$5,A_DATA,$B67)+COUNTIFS(A_PERS,Partecipanti!$B$5,A_SETT,$A67,A_TIPO,"Licenza - settimana intera")+COUNTIFS(A_PERS,Partecipanti!$B$5,A_SETT,$A67,A_TIPO,"Attività esterna - settimana intera")&gt;0,0,1)</f>
        <v/>
      </c>
      <c r="H67">
        <f>IF(COUNTIFS(A_PERS,Partecipanti!$B$6,A_DATA,$B67)+COUNTIFS(A_PERS,Partecipanti!$B$6,A_SETT,$A67,A_TIPO,"Licenza - settimana intera")+COUNTIFS(A_PERS,Partecipanti!$B$6,A_SETT,$A67,A_TIPO,"Attività esterna - settimana intera")&gt;0,0,1)</f>
        <v/>
      </c>
      <c r="I67">
        <f>IF(COUNTIFS(A_PERS,Partecipanti!$B$7,A_DATA,$B67)+COUNTIFS(A_PERS,Partecipanti!$B$7,A_SETT,$A67,A_TIPO,"Licenza - settimana intera")+COUNTIFS(A_PERS,Partecipanti!$B$7,A_SETT,$A67,A_TIPO,"Attività esterna - settimana intera")&gt;0,0,1)</f>
        <v/>
      </c>
      <c r="J67">
        <f>IF(COUNTIFS(A_PERS,Partecipanti!$B$8,A_DATA,$B67)+COUNTIFS(A_PERS,Partecipanti!$B$8,A_SETT,$A67,A_TIPO,"Licenza - settimana intera")+COUNTIFS(A_PERS,Partecipanti!$B$8,A_SETT,$A67,A_TIPO,"Attività esterna - settimana intera")&gt;0,0,1)</f>
        <v/>
      </c>
      <c r="K67">
        <f>IF(COUNTIFS(A_PERS,Partecipanti!$B$9,A_DATA,$B67)+COUNTIFS(A_PERS,Partecipanti!$B$9,A_SETT,$A67,A_TIPO,"Licenza - settimana intera")+COUNTIFS(A_PERS,Partecipanti!$B$9,A_SETT,$A67,A_TIPO,"Attività esterna - settimana intera")&gt;0,0,1)</f>
        <v/>
      </c>
      <c r="L67">
        <f>IFERROR(INDEX($C61:$C65,MATCH(1,INDEX(($T61:$T65=$C67)*1,0),0)),"")</f>
        <v/>
      </c>
      <c r="M67">
        <f>IF($L67="",0,IF(INDEX($G67:$K67,MATCH($L67,Partecipanti!$B$5:$B$9,0))=1,1,0))</f>
        <v/>
      </c>
      <c r="N67">
        <f>IF($G67=0,100000,IF(Partecipanti!$B$5=$C67,100000,COUNTIF($S$6:$S66,Partecipanti!$B$5)*100+MOD(1-MATCH($C67,Partecipanti!$B$5:$B$9,0)-1,5)))</f>
        <v/>
      </c>
      <c r="O67">
        <f>IF($H67=0,100000,IF(Partecipanti!$B$6=$C67,100000,COUNTIF($S$6:$S66,Partecipanti!$B$6)*100+MOD(2-MATCH($C67,Partecipanti!$B$5:$B$9,0)-1,5)))</f>
        <v/>
      </c>
      <c r="P67">
        <f>IF($I67=0,100000,IF(Partecipanti!$B$7=$C67,100000,COUNTIF($S$6:$S66,Partecipanti!$B$7)*100+MOD(3-MATCH($C67,Partecipanti!$B$5:$B$9,0)-1,5)))</f>
        <v/>
      </c>
      <c r="Q67">
        <f>IF($J67=0,100000,IF(Partecipanti!$B$8=$C67,100000,COUNTIF($S$6:$S66,Partecipanti!$B$8)*100+MOD(4-MATCH($C67,Partecipanti!$B$5:$B$9,0)-1,5)))</f>
        <v/>
      </c>
      <c r="R67">
        <f>IF($K67=0,100000,IF(Partecipanti!$B$9=$C67,100000,COUNTIF($S$6:$S66,Partecipanti!$B$9)*100+MOD(5-MATCH($C67,Partecipanti!$B$5:$B$9,0)-1,5)))</f>
        <v/>
      </c>
      <c r="S67">
        <f>IF(OR($E67=0,$M67=1),"",IF(MIN($N67:$R67)&gt;=100000,"DA ASSEGNARE",INDEX(Partecipanti!$B$5:$B$9,MATCH(MIN($N67:$R67),$N67:$R67,0))))</f>
        <v/>
      </c>
      <c r="T67">
        <f>IF(AND($F67=1,$S67&lt;&gt;"",$S67&lt;&gt;"DA ASSEGNARE"),$S67,"")</f>
        <v/>
      </c>
      <c r="U67">
        <f>IF($M67=1,$L67,IF($E67=0,$C67,$S67))</f>
        <v/>
      </c>
      <c r="V67">
        <f>IF($M67=1,"Recupero",IF($E67=0,"Ordinario",IF($S67="DA ASSEGNARE","DA ASSEGNARE","Sostituzione (doppio turno)")))</f>
        <v/>
      </c>
      <c r="W67">
        <f>IF(OR($M67=1,$E67=1),$C67,"")</f>
        <v/>
      </c>
      <c r="X67">
        <f>IF($M67=1,$L67&amp;" recupera il turno saltato nella settimana "&amp;($A67-1)&amp;"; "&amp;$C67&amp;" a riposo compensativo",IF($E67=1,$C67&amp;" assente ("&amp;$D67&amp;")"&amp;IF($S67="DA ASSEGNARE","; nessun sostituto disponibile","; sostituisce "&amp;$S67&amp;" con doppio turno")&amp;IF($F67=1,"; turno da recuperare nella settimana "&amp;($A67+1),"; turno non da recuperare"),""))</f>
        <v/>
      </c>
      <c r="Y67">
        <f>IF($M67=1,"recupera il turno saltato nella settimana "&amp;($A67-1)&amp;", "&amp;$C67&amp;" a riposo",IF($E67=1,IF($S67="DA ASSEGNARE","turno da assegnare: "&amp;$C67&amp;" assente","in sostituzione di "&amp;$C67&amp;", doppio turno"),""))</f>
        <v/>
      </c>
    </row>
    <row r="68">
      <c r="A68" t="n">
        <v>13</v>
      </c>
      <c r="B68" s="43" t="n">
        <v>46379</v>
      </c>
      <c r="C68">
        <f>Partecipanti!$B$7</f>
        <v/>
      </c>
      <c r="D68">
        <f>IF(COUNTIFS(A_PERS,$C68,A_SETT,$A68,A_TIPO,"Licenza - settimana intera")&gt;0,"Licenza - settimana intera",IF(COUNTIFS(A_PERS,$C68,A_SETT,$A68,A_TIPO,"Attività esterna - settimana intera")&gt;0,"Attività esterna - settimana intera",IF(COUNTIFS(A_PERS,$C68,A_DATA,$B68)&gt;0,INDEX(A_TIPO,MATCH(1,INDEX((A_PERS=$C68)*(A_DATA=$B68),0),0)),"")))</f>
        <v/>
      </c>
      <c r="E68">
        <f>IF($D68="",0,1)</f>
        <v/>
      </c>
      <c r="F68">
        <f>IF($E68=0,0,IF(OR($D68="Licenza - settimana intera",$D68="Attività esterna - settimana intera"),0,1))</f>
        <v/>
      </c>
      <c r="G68">
        <f>IF(COUNTIFS(A_PERS,Partecipanti!$B$5,A_DATA,$B68)+COUNTIFS(A_PERS,Partecipanti!$B$5,A_SETT,$A68,A_TIPO,"Licenza - settimana intera")+COUNTIFS(A_PERS,Partecipanti!$B$5,A_SETT,$A68,A_TIPO,"Attività esterna - settimana intera")&gt;0,0,1)</f>
        <v/>
      </c>
      <c r="H68">
        <f>IF(COUNTIFS(A_PERS,Partecipanti!$B$6,A_DATA,$B68)+COUNTIFS(A_PERS,Partecipanti!$B$6,A_SETT,$A68,A_TIPO,"Licenza - settimana intera")+COUNTIFS(A_PERS,Partecipanti!$B$6,A_SETT,$A68,A_TIPO,"Attività esterna - settimana intera")&gt;0,0,1)</f>
        <v/>
      </c>
      <c r="I68">
        <f>IF(COUNTIFS(A_PERS,Partecipanti!$B$7,A_DATA,$B68)+COUNTIFS(A_PERS,Partecipanti!$B$7,A_SETT,$A68,A_TIPO,"Licenza - settimana intera")+COUNTIFS(A_PERS,Partecipanti!$B$7,A_SETT,$A68,A_TIPO,"Attività esterna - settimana intera")&gt;0,0,1)</f>
        <v/>
      </c>
      <c r="J68">
        <f>IF(COUNTIFS(A_PERS,Partecipanti!$B$8,A_DATA,$B68)+COUNTIFS(A_PERS,Partecipanti!$B$8,A_SETT,$A68,A_TIPO,"Licenza - settimana intera")+COUNTIFS(A_PERS,Partecipanti!$B$8,A_SETT,$A68,A_TIPO,"Attività esterna - settimana intera")&gt;0,0,1)</f>
        <v/>
      </c>
      <c r="K68">
        <f>IF(COUNTIFS(A_PERS,Partecipanti!$B$9,A_DATA,$B68)+COUNTIFS(A_PERS,Partecipanti!$B$9,A_SETT,$A68,A_TIPO,"Licenza - settimana intera")+COUNTIFS(A_PERS,Partecipanti!$B$9,A_SETT,$A68,A_TIPO,"Attività esterna - settimana intera")&gt;0,0,1)</f>
        <v/>
      </c>
      <c r="L68">
        <f>IFERROR(INDEX($C61:$C65,MATCH(1,INDEX(($T61:$T65=$C68)*1,0),0)),"")</f>
        <v/>
      </c>
      <c r="M68">
        <f>IF($L68="",0,IF(INDEX($G68:$K68,MATCH($L68,Partecipanti!$B$5:$B$9,0))=1,1,0))</f>
        <v/>
      </c>
      <c r="N68">
        <f>IF($G68=0,100000,IF(Partecipanti!$B$5=$C68,100000,COUNTIF($S$6:$S67,Partecipanti!$B$5)*100+MOD(1-MATCH($C68,Partecipanti!$B$5:$B$9,0)-1,5)))</f>
        <v/>
      </c>
      <c r="O68">
        <f>IF($H68=0,100000,IF(Partecipanti!$B$6=$C68,100000,COUNTIF($S$6:$S67,Partecipanti!$B$6)*100+MOD(2-MATCH($C68,Partecipanti!$B$5:$B$9,0)-1,5)))</f>
        <v/>
      </c>
      <c r="P68">
        <f>IF($I68=0,100000,IF(Partecipanti!$B$7=$C68,100000,COUNTIF($S$6:$S67,Partecipanti!$B$7)*100+MOD(3-MATCH($C68,Partecipanti!$B$5:$B$9,0)-1,5)))</f>
        <v/>
      </c>
      <c r="Q68">
        <f>IF($J68=0,100000,IF(Partecipanti!$B$8=$C68,100000,COUNTIF($S$6:$S67,Partecipanti!$B$8)*100+MOD(4-MATCH($C68,Partecipanti!$B$5:$B$9,0)-1,5)))</f>
        <v/>
      </c>
      <c r="R68">
        <f>IF($K68=0,100000,IF(Partecipanti!$B$9=$C68,100000,COUNTIF($S$6:$S67,Partecipanti!$B$9)*100+MOD(5-MATCH($C68,Partecipanti!$B$5:$B$9,0)-1,5)))</f>
        <v/>
      </c>
      <c r="S68">
        <f>IF(OR($E68=0,$M68=1),"",IF(MIN($N68:$R68)&gt;=100000,"DA ASSEGNARE",INDEX(Partecipanti!$B$5:$B$9,MATCH(MIN($N68:$R68),$N68:$R68,0))))</f>
        <v/>
      </c>
      <c r="T68">
        <f>IF(AND($F68=1,$S68&lt;&gt;"",$S68&lt;&gt;"DA ASSEGNARE"),$S68,"")</f>
        <v/>
      </c>
      <c r="U68">
        <f>IF($M68=1,$L68,IF($E68=0,$C68,$S68))</f>
        <v/>
      </c>
      <c r="V68">
        <f>IF($M68=1,"Recupero",IF($E68=0,"Ordinario",IF($S68="DA ASSEGNARE","DA ASSEGNARE","Sostituzione (doppio turno)")))</f>
        <v/>
      </c>
      <c r="W68">
        <f>IF(OR($M68=1,$E68=1),$C68,"")</f>
        <v/>
      </c>
      <c r="X68">
        <f>IF($M68=1,$L68&amp;" recupera il turno saltato nella settimana "&amp;($A68-1)&amp;"; "&amp;$C68&amp;" a riposo compensativo",IF($E68=1,$C68&amp;" assente ("&amp;$D68&amp;")"&amp;IF($S68="DA ASSEGNARE","; nessun sostituto disponibile","; sostituisce "&amp;$S68&amp;" con doppio turno")&amp;IF($F68=1,"; turno da recuperare nella settimana "&amp;($A68+1),"; turno non da recuperare"),""))</f>
        <v/>
      </c>
      <c r="Y68">
        <f>IF($M68=1,"recupera il turno saltato nella settimana "&amp;($A68-1)&amp;", "&amp;$C68&amp;" a riposo",IF($E68=1,IF($S68="DA ASSEGNARE","turno da assegnare: "&amp;$C68&amp;" assente","in sostituzione di "&amp;$C68&amp;", doppio turno"),""))</f>
        <v/>
      </c>
    </row>
    <row r="69">
      <c r="A69" t="n">
        <v>13</v>
      </c>
      <c r="B69" s="43" t="n">
        <v>46380</v>
      </c>
      <c r="C69">
        <f>Partecipanti!$B$8</f>
        <v/>
      </c>
      <c r="D69">
        <f>IF(COUNTIFS(A_PERS,$C69,A_SETT,$A69,A_TIPO,"Licenza - settimana intera")&gt;0,"Licenza - settimana intera",IF(COUNTIFS(A_PERS,$C69,A_SETT,$A69,A_TIPO,"Attività esterna - settimana intera")&gt;0,"Attività esterna - settimana intera",IF(COUNTIFS(A_PERS,$C69,A_DATA,$B69)&gt;0,INDEX(A_TIPO,MATCH(1,INDEX((A_PERS=$C69)*(A_DATA=$B69),0),0)),"")))</f>
        <v/>
      </c>
      <c r="E69">
        <f>IF($D69="",0,1)</f>
        <v/>
      </c>
      <c r="F69">
        <f>IF($E69=0,0,IF(OR($D69="Licenza - settimana intera",$D69="Attività esterna - settimana intera"),0,1))</f>
        <v/>
      </c>
      <c r="G69">
        <f>IF(COUNTIFS(A_PERS,Partecipanti!$B$5,A_DATA,$B69)+COUNTIFS(A_PERS,Partecipanti!$B$5,A_SETT,$A69,A_TIPO,"Licenza - settimana intera")+COUNTIFS(A_PERS,Partecipanti!$B$5,A_SETT,$A69,A_TIPO,"Attività esterna - settimana intera")&gt;0,0,1)</f>
        <v/>
      </c>
      <c r="H69">
        <f>IF(COUNTIFS(A_PERS,Partecipanti!$B$6,A_DATA,$B69)+COUNTIFS(A_PERS,Partecipanti!$B$6,A_SETT,$A69,A_TIPO,"Licenza - settimana intera")+COUNTIFS(A_PERS,Partecipanti!$B$6,A_SETT,$A69,A_TIPO,"Attività esterna - settimana intera")&gt;0,0,1)</f>
        <v/>
      </c>
      <c r="I69">
        <f>IF(COUNTIFS(A_PERS,Partecipanti!$B$7,A_DATA,$B69)+COUNTIFS(A_PERS,Partecipanti!$B$7,A_SETT,$A69,A_TIPO,"Licenza - settimana intera")+COUNTIFS(A_PERS,Partecipanti!$B$7,A_SETT,$A69,A_TIPO,"Attività esterna - settimana intera")&gt;0,0,1)</f>
        <v/>
      </c>
      <c r="J69">
        <f>IF(COUNTIFS(A_PERS,Partecipanti!$B$8,A_DATA,$B69)+COUNTIFS(A_PERS,Partecipanti!$B$8,A_SETT,$A69,A_TIPO,"Licenza - settimana intera")+COUNTIFS(A_PERS,Partecipanti!$B$8,A_SETT,$A69,A_TIPO,"Attività esterna - settimana intera")&gt;0,0,1)</f>
        <v/>
      </c>
      <c r="K69">
        <f>IF(COUNTIFS(A_PERS,Partecipanti!$B$9,A_DATA,$B69)+COUNTIFS(A_PERS,Partecipanti!$B$9,A_SETT,$A69,A_TIPO,"Licenza - settimana intera")+COUNTIFS(A_PERS,Partecipanti!$B$9,A_SETT,$A69,A_TIPO,"Attività esterna - settimana intera")&gt;0,0,1)</f>
        <v/>
      </c>
      <c r="L69">
        <f>IFERROR(INDEX($C61:$C65,MATCH(1,INDEX(($T61:$T65=$C69)*1,0),0)),"")</f>
        <v/>
      </c>
      <c r="M69">
        <f>IF($L69="",0,IF(INDEX($G69:$K69,MATCH($L69,Partecipanti!$B$5:$B$9,0))=1,1,0))</f>
        <v/>
      </c>
      <c r="N69">
        <f>IF($G69=0,100000,IF(Partecipanti!$B$5=$C69,100000,COUNTIF($S$6:$S68,Partecipanti!$B$5)*100+MOD(1-MATCH($C69,Partecipanti!$B$5:$B$9,0)-1,5)))</f>
        <v/>
      </c>
      <c r="O69">
        <f>IF($H69=0,100000,IF(Partecipanti!$B$6=$C69,100000,COUNTIF($S$6:$S68,Partecipanti!$B$6)*100+MOD(2-MATCH($C69,Partecipanti!$B$5:$B$9,0)-1,5)))</f>
        <v/>
      </c>
      <c r="P69">
        <f>IF($I69=0,100000,IF(Partecipanti!$B$7=$C69,100000,COUNTIF($S$6:$S68,Partecipanti!$B$7)*100+MOD(3-MATCH($C69,Partecipanti!$B$5:$B$9,0)-1,5)))</f>
        <v/>
      </c>
      <c r="Q69">
        <f>IF($J69=0,100000,IF(Partecipanti!$B$8=$C69,100000,COUNTIF($S$6:$S68,Partecipanti!$B$8)*100+MOD(4-MATCH($C69,Partecipanti!$B$5:$B$9,0)-1,5)))</f>
        <v/>
      </c>
      <c r="R69">
        <f>IF($K69=0,100000,IF(Partecipanti!$B$9=$C69,100000,COUNTIF($S$6:$S68,Partecipanti!$B$9)*100+MOD(5-MATCH($C69,Partecipanti!$B$5:$B$9,0)-1,5)))</f>
        <v/>
      </c>
      <c r="S69">
        <f>IF(OR($E69=0,$M69=1),"",IF(MIN($N69:$R69)&gt;=100000,"DA ASSEGNARE",INDEX(Partecipanti!$B$5:$B$9,MATCH(MIN($N69:$R69),$N69:$R69,0))))</f>
        <v/>
      </c>
      <c r="T69">
        <f>IF(AND($F69=1,$S69&lt;&gt;"",$S69&lt;&gt;"DA ASSEGNARE"),$S69,"")</f>
        <v/>
      </c>
      <c r="U69">
        <f>IF($M69=1,$L69,IF($E69=0,$C69,$S69))</f>
        <v/>
      </c>
      <c r="V69">
        <f>IF($M69=1,"Recupero",IF($E69=0,"Ordinario",IF($S69="DA ASSEGNARE","DA ASSEGNARE","Sostituzione (doppio turno)")))</f>
        <v/>
      </c>
      <c r="W69">
        <f>IF(OR($M69=1,$E69=1),$C69,"")</f>
        <v/>
      </c>
      <c r="X69">
        <f>IF($M69=1,$L69&amp;" recupera il turno saltato nella settimana "&amp;($A69-1)&amp;"; "&amp;$C69&amp;" a riposo compensativo",IF($E69=1,$C69&amp;" assente ("&amp;$D69&amp;")"&amp;IF($S69="DA ASSEGNARE","; nessun sostituto disponibile","; sostituisce "&amp;$S69&amp;" con doppio turno")&amp;IF($F69=1,"; turno da recuperare nella settimana "&amp;($A69+1),"; turno non da recuperare"),""))</f>
        <v/>
      </c>
      <c r="Y69">
        <f>IF($M69=1,"recupera il turno saltato nella settimana "&amp;($A69-1)&amp;", "&amp;$C69&amp;" a riposo",IF($E69=1,IF($S69="DA ASSEGNARE","turno da assegnare: "&amp;$C69&amp;" assente","in sostituzione di "&amp;$C69&amp;", doppio turno"),""))</f>
        <v/>
      </c>
    </row>
    <row r="70">
      <c r="A70" t="n">
        <v>13</v>
      </c>
      <c r="B70" s="43" t="n">
        <v>46381</v>
      </c>
      <c r="C70">
        <f>Partecipanti!$B$9</f>
        <v/>
      </c>
      <c r="D70">
        <f>IF(COUNTIFS(A_PERS,$C70,A_SETT,$A70,A_TIPO,"Licenza - settimana intera")&gt;0,"Licenza - settimana intera",IF(COUNTIFS(A_PERS,$C70,A_SETT,$A70,A_TIPO,"Attività esterna - settimana intera")&gt;0,"Attività esterna - settimana intera",IF(COUNTIFS(A_PERS,$C70,A_DATA,$B70)&gt;0,INDEX(A_TIPO,MATCH(1,INDEX((A_PERS=$C70)*(A_DATA=$B70),0),0)),"")))</f>
        <v/>
      </c>
      <c r="E70">
        <f>IF($D70="",0,1)</f>
        <v/>
      </c>
      <c r="F70">
        <f>IF($E70=0,0,IF(OR($D70="Licenza - settimana intera",$D70="Attività esterna - settimana intera"),0,1))</f>
        <v/>
      </c>
      <c r="G70">
        <f>IF(COUNTIFS(A_PERS,Partecipanti!$B$5,A_DATA,$B70)+COUNTIFS(A_PERS,Partecipanti!$B$5,A_SETT,$A70,A_TIPO,"Licenza - settimana intera")+COUNTIFS(A_PERS,Partecipanti!$B$5,A_SETT,$A70,A_TIPO,"Attività esterna - settimana intera")&gt;0,0,1)</f>
        <v/>
      </c>
      <c r="H70">
        <f>IF(COUNTIFS(A_PERS,Partecipanti!$B$6,A_DATA,$B70)+COUNTIFS(A_PERS,Partecipanti!$B$6,A_SETT,$A70,A_TIPO,"Licenza - settimana intera")+COUNTIFS(A_PERS,Partecipanti!$B$6,A_SETT,$A70,A_TIPO,"Attività esterna - settimana intera")&gt;0,0,1)</f>
        <v/>
      </c>
      <c r="I70">
        <f>IF(COUNTIFS(A_PERS,Partecipanti!$B$7,A_DATA,$B70)+COUNTIFS(A_PERS,Partecipanti!$B$7,A_SETT,$A70,A_TIPO,"Licenza - settimana intera")+COUNTIFS(A_PERS,Partecipanti!$B$7,A_SETT,$A70,A_TIPO,"Attività esterna - settimana intera")&gt;0,0,1)</f>
        <v/>
      </c>
      <c r="J70">
        <f>IF(COUNTIFS(A_PERS,Partecipanti!$B$8,A_DATA,$B70)+COUNTIFS(A_PERS,Partecipanti!$B$8,A_SETT,$A70,A_TIPO,"Licenza - settimana intera")+COUNTIFS(A_PERS,Partecipanti!$B$8,A_SETT,$A70,A_TIPO,"Attività esterna - settimana intera")&gt;0,0,1)</f>
        <v/>
      </c>
      <c r="K70">
        <f>IF(COUNTIFS(A_PERS,Partecipanti!$B$9,A_DATA,$B70)+COUNTIFS(A_PERS,Partecipanti!$B$9,A_SETT,$A70,A_TIPO,"Licenza - settimana intera")+COUNTIFS(A_PERS,Partecipanti!$B$9,A_SETT,$A70,A_TIPO,"Attività esterna - settimana intera")&gt;0,0,1)</f>
        <v/>
      </c>
      <c r="L70">
        <f>IFERROR(INDEX($C61:$C65,MATCH(1,INDEX(($T61:$T65=$C70)*1,0),0)),"")</f>
        <v/>
      </c>
      <c r="M70">
        <f>IF($L70="",0,IF(INDEX($G70:$K70,MATCH($L70,Partecipanti!$B$5:$B$9,0))=1,1,0))</f>
        <v/>
      </c>
      <c r="N70">
        <f>IF($G70=0,100000,IF(Partecipanti!$B$5=$C70,100000,COUNTIF($S$6:$S69,Partecipanti!$B$5)*100+MOD(1-MATCH($C70,Partecipanti!$B$5:$B$9,0)-1,5)))</f>
        <v/>
      </c>
      <c r="O70">
        <f>IF($H70=0,100000,IF(Partecipanti!$B$6=$C70,100000,COUNTIF($S$6:$S69,Partecipanti!$B$6)*100+MOD(2-MATCH($C70,Partecipanti!$B$5:$B$9,0)-1,5)))</f>
        <v/>
      </c>
      <c r="P70">
        <f>IF($I70=0,100000,IF(Partecipanti!$B$7=$C70,100000,COUNTIF($S$6:$S69,Partecipanti!$B$7)*100+MOD(3-MATCH($C70,Partecipanti!$B$5:$B$9,0)-1,5)))</f>
        <v/>
      </c>
      <c r="Q70">
        <f>IF($J70=0,100000,IF(Partecipanti!$B$8=$C70,100000,COUNTIF($S$6:$S69,Partecipanti!$B$8)*100+MOD(4-MATCH($C70,Partecipanti!$B$5:$B$9,0)-1,5)))</f>
        <v/>
      </c>
      <c r="R70">
        <f>IF($K70=0,100000,IF(Partecipanti!$B$9=$C70,100000,COUNTIF($S$6:$S69,Partecipanti!$B$9)*100+MOD(5-MATCH($C70,Partecipanti!$B$5:$B$9,0)-1,5)))</f>
        <v/>
      </c>
      <c r="S70">
        <f>IF(OR($E70=0,$M70=1),"",IF(MIN($N70:$R70)&gt;=100000,"DA ASSEGNARE",INDEX(Partecipanti!$B$5:$B$9,MATCH(MIN($N70:$R70),$N70:$R70,0))))</f>
        <v/>
      </c>
      <c r="T70">
        <f>IF(AND($F70=1,$S70&lt;&gt;"",$S70&lt;&gt;"DA ASSEGNARE"),$S70,"")</f>
        <v/>
      </c>
      <c r="U70">
        <f>IF($M70=1,$L70,IF($E70=0,$C70,$S70))</f>
        <v/>
      </c>
      <c r="V70">
        <f>IF($M70=1,"Recupero",IF($E70=0,"Ordinario",IF($S70="DA ASSEGNARE","DA ASSEGNARE","Sostituzione (doppio turno)")))</f>
        <v/>
      </c>
      <c r="W70">
        <f>IF(OR($M70=1,$E70=1),$C70,"")</f>
        <v/>
      </c>
      <c r="X70">
        <f>IF($M70=1,$L70&amp;" recupera il turno saltato nella settimana "&amp;($A70-1)&amp;"; "&amp;$C70&amp;" a riposo compensativo",IF($E70=1,$C70&amp;" assente ("&amp;$D70&amp;")"&amp;IF($S70="DA ASSEGNARE","; nessun sostituto disponibile","; sostituisce "&amp;$S70&amp;" con doppio turno")&amp;IF($F70=1,"; turno da recuperare nella settimana "&amp;($A70+1),"; turno non da recuperare"),""))</f>
        <v/>
      </c>
      <c r="Y70">
        <f>IF($M70=1,"recupera il turno saltato nella settimana "&amp;($A70-1)&amp;", "&amp;$C70&amp;" a riposo",IF($E70=1,IF($S70="DA ASSEGNARE","turno da assegnare: "&amp;$C70&amp;" assente","in sostituzione di "&amp;$C70&amp;", doppio turno"),""))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2026-09-21T05:41:40Z</dcterms:created>
  <dcterms:modified xsi:type="dcterms:W3CDTF">2026-09-21T05:41:40Z</dcterms:modified>
</cp:coreProperties>
</file>